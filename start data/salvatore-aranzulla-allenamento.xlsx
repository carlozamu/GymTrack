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nd" sheetId="1" r:id="rId4"/>
    <sheet state="visible" name="template" sheetId="2" r:id="rId5"/>
    <sheet state="hidden" name="simple-training-template" sheetId="3" r:id="rId6"/>
    <sheet state="hidden" name="hyper-reps-lookup-table" sheetId="4" r:id="rId7"/>
  </sheets>
  <definedNames/>
  <calcPr/>
</workbook>
</file>

<file path=xl/sharedStrings.xml><?xml version="1.0" encoding="utf-8"?>
<sst xmlns="http://schemas.openxmlformats.org/spreadsheetml/2006/main" count="619" uniqueCount="95">
  <si>
    <t>Week 1</t>
  </si>
  <si>
    <t>Exercise</t>
  </si>
  <si>
    <t>Sets</t>
  </si>
  <si>
    <t>Weight</t>
  </si>
  <si>
    <t>Reps</t>
  </si>
  <si>
    <t>Eff. Reps</t>
  </si>
  <si>
    <t>HVL</t>
  </si>
  <si>
    <t>1RM</t>
  </si>
  <si>
    <t>1st Rep Range</t>
  </si>
  <si>
    <t>Weight Stack Set</t>
  </si>
  <si>
    <t>Rounding</t>
  </si>
  <si>
    <t>Training Volume</t>
  </si>
  <si>
    <t>Maximum Sets</t>
  </si>
  <si>
    <t>Leg press</t>
  </si>
  <si>
    <t>Moderate</t>
  </si>
  <si>
    <t>Panca piana</t>
  </si>
  <si>
    <t>Rematore [manubri]</t>
  </si>
  <si>
    <t>Shoulder press [manubri]</t>
  </si>
  <si>
    <t>Curl [manubri]</t>
  </si>
  <si>
    <t>Plank</t>
  </si>
  <si>
    <t xml:space="preserve">Leg curl </t>
  </si>
  <si>
    <t>Lat machine</t>
  </si>
  <si>
    <t>Chest press</t>
  </si>
  <si>
    <t>Affondi [manubri]</t>
  </si>
  <si>
    <t>Estensioni tricipiti [cavi]</t>
  </si>
  <si>
    <t>Leg curl</t>
  </si>
  <si>
    <t>Panca inclinata [manubri]</t>
  </si>
  <si>
    <t>Panca inclinata</t>
  </si>
  <si>
    <t>Pulley</t>
  </si>
  <si>
    <t>7x7x7</t>
  </si>
  <si>
    <t>Workout Details</t>
  </si>
  <si>
    <t>Perform sets to muscular failure superset opposing muscle groups with a 90-second rest between exercises. If used, Rest Pause Training (RPT) requires 15 seconds rest beetween sets. The exercises done with Trainer+ could be performed in Old School mode or Echo mode.</t>
  </si>
  <si>
    <t>Sets Ovr</t>
  </si>
  <si>
    <t>Wt Ovr</t>
  </si>
  <si>
    <t>Est Wt</t>
  </si>
  <si>
    <t>RIR</t>
  </si>
  <si>
    <t>Rep Results</t>
  </si>
  <si>
    <t>% e1RM</t>
  </si>
  <si>
    <t>e1RM</t>
  </si>
  <si>
    <t>VL</t>
  </si>
  <si>
    <t>cHVL-1</t>
  </si>
  <si>
    <t>cHVL</t>
  </si>
  <si>
    <t>Score-1</t>
  </si>
  <si>
    <t>Score</t>
  </si>
  <si>
    <t>Rating-1</t>
  </si>
  <si>
    <t>Rating</t>
  </si>
  <si>
    <t>Workout</t>
  </si>
  <si>
    <t>MIN (1RM)</t>
  </si>
  <si>
    <t>MAX (1RM)</t>
  </si>
  <si>
    <t>MAX (Sets)</t>
  </si>
  <si>
    <t>MAX (Weight)</t>
  </si>
  <si>
    <t>Multiple</t>
  </si>
  <si>
    <t>Day 1:</t>
  </si>
  <si>
    <t>Low Cable Squat [Trainer+]</t>
  </si>
  <si>
    <t>Romanian Deadlift [Trainer+]</t>
  </si>
  <si>
    <t>Single Leg Extension (RPT) [Unica]</t>
  </si>
  <si>
    <t>Single Leg Curl (RPT) [Unica]</t>
  </si>
  <si>
    <t>Day 2:</t>
  </si>
  <si>
    <t>Bench Press [Trainer+]</t>
  </si>
  <si>
    <t>Single Arm Row [Unica]</t>
  </si>
  <si>
    <t>Lying Pec Flys (RPT) [Trainer+]</t>
  </si>
  <si>
    <t>Lat Pulldown (RPT) [Unica]</t>
  </si>
  <si>
    <t>Lateral Raise (RPT) [Trainer+]</t>
  </si>
  <si>
    <t>Rope Seated Face Pull (RPT) [Unica]</t>
  </si>
  <si>
    <t>V-Bar Tricep Pushdown (RPT) [Unica]</t>
  </si>
  <si>
    <t>Seated Bicep Curl (RPT) [Trainer+]</t>
  </si>
  <si>
    <t xml:space="preserve">Rest one day between day 2 and the next day 3		</t>
  </si>
  <si>
    <t>Day 3:</t>
  </si>
  <si>
    <t>Day 4:</t>
  </si>
  <si>
    <t>Rest period</t>
  </si>
  <si>
    <t>Superset opposing muscle groups, while taking a 90 seconds rest between exercises. Rest Pause Training (RPT) requires 20 seconds rest beetween sets.</t>
  </si>
  <si>
    <t>Direct Working Sets</t>
  </si>
  <si>
    <t>Muscle</t>
  </si>
  <si>
    <t>W1</t>
  </si>
  <si>
    <t>W2</t>
  </si>
  <si>
    <t>W3</t>
  </si>
  <si>
    <t>W4</t>
  </si>
  <si>
    <t>Chest</t>
  </si>
  <si>
    <t>Back</t>
  </si>
  <si>
    <t>Biceps</t>
  </si>
  <si>
    <t>Triceps</t>
  </si>
  <si>
    <t>Rear Delts</t>
  </si>
  <si>
    <t>Side Delts</t>
  </si>
  <si>
    <t>Front Delts</t>
  </si>
  <si>
    <t>Traps</t>
  </si>
  <si>
    <t>Abs</t>
  </si>
  <si>
    <t>Glutes</t>
  </si>
  <si>
    <t>Quads</t>
  </si>
  <si>
    <t>Hamstrings</t>
  </si>
  <si>
    <t>Calves</t>
  </si>
  <si>
    <t>Direct HVL</t>
  </si>
  <si>
    <t>SUM</t>
  </si>
  <si>
    <t>MAX</t>
  </si>
  <si>
    <t>Column A is reps</t>
  </si>
  <si>
    <t>Row 1 is RIR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</si>
</sst>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d, m, yy"/>
    <numFmt numFmtId="166" formatCode="0.0"/>
  </numFmts>
  <fonts count="10">
    <font>
      <sz val="12.0"/>
      <color rgb="FF000000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i/>
      <color theme="1"/>
      <name val="Calibri"/>
      <scheme val="minor"/>
    </font>
    <font/>
    <font>
      <i/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sz val="11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FD37C"/>
        <bgColor rgb="FF9FD37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FD47C"/>
        <bgColor rgb="FF9FD47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/>
      <right/>
      <top/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  <xf borderId="2" fillId="0" fontId="3" numFmtId="0" xfId="0" applyBorder="1" applyFont="1"/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 readingOrder="0" vertical="top"/>
    </xf>
    <xf borderId="0" fillId="0" fontId="6" numFmtId="0" xfId="0" applyAlignment="1" applyFont="1">
      <alignment horizontal="center"/>
    </xf>
    <xf borderId="0" fillId="0" fontId="6" numFmtId="1" xfId="0" applyAlignment="1" applyFont="1" applyNumberFormat="1">
      <alignment horizontal="center"/>
    </xf>
    <xf borderId="0" fillId="0" fontId="7" numFmtId="0" xfId="0" applyAlignment="1" applyFont="1">
      <alignment vertical="bottom"/>
    </xf>
    <xf borderId="0" fillId="0" fontId="2" numFmtId="0" xfId="0" applyFont="1"/>
    <xf borderId="0" fillId="0" fontId="2" numFmtId="1" xfId="0" applyAlignment="1" applyFont="1" applyNumberFormat="1">
      <alignment horizontal="center"/>
    </xf>
    <xf borderId="2" fillId="2" fontId="1" numFmtId="0" xfId="0" applyAlignment="1" applyBorder="1" applyFont="1">
      <alignment horizontal="center" readingOrder="0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2" fillId="0" fontId="1" numFmtId="1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 readingOrder="0"/>
    </xf>
    <xf borderId="0" fillId="0" fontId="7" numFmtId="164" xfId="0" applyAlignment="1" applyFont="1" applyNumberFormat="1">
      <alignment vertical="bottom"/>
    </xf>
    <xf borderId="1" fillId="2" fontId="1" numFmtId="1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/>
    </xf>
    <xf borderId="2" fillId="0" fontId="2" numFmtId="165" xfId="0" applyAlignment="1" applyBorder="1" applyFont="1" applyNumberFormat="1">
      <alignment horizontal="center" readingOrder="0"/>
    </xf>
    <xf borderId="0" fillId="0" fontId="7" numFmtId="1" xfId="0" applyAlignment="1" applyFont="1" applyNumberFormat="1">
      <alignment vertical="bottom"/>
    </xf>
    <xf borderId="1" fillId="0" fontId="2" numFmtId="0" xfId="0" applyAlignment="1" applyBorder="1" applyFont="1">
      <alignment horizontal="center" readingOrder="0"/>
    </xf>
    <xf borderId="1" fillId="0" fontId="2" numFmtId="2" xfId="0" applyAlignment="1" applyBorder="1" applyFont="1" applyNumberFormat="1">
      <alignment horizontal="center" readingOrder="0"/>
    </xf>
    <xf borderId="1" fillId="0" fontId="2" numFmtId="10" xfId="0" applyAlignment="1" applyBorder="1" applyFont="1" applyNumberFormat="1">
      <alignment horizontal="center" readingOrder="0"/>
    </xf>
    <xf borderId="1" fillId="3" fontId="2" numFmtId="1" xfId="0" applyAlignment="1" applyBorder="1" applyFill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left" readingOrder="0" vertical="top"/>
    </xf>
    <xf borderId="1" fillId="0" fontId="2" numFmtId="166" xfId="0" applyAlignment="1" applyBorder="1" applyFont="1" applyNumberFormat="1">
      <alignment horizontal="center" readingOrder="0"/>
    </xf>
    <xf borderId="0" fillId="0" fontId="0" numFmtId="0" xfId="0" applyFont="1"/>
    <xf borderId="0" fillId="0" fontId="5" numFmtId="1" xfId="0" applyAlignment="1" applyFont="1" applyNumberFormat="1">
      <alignment horizontal="center" readingOrder="0" vertical="top"/>
    </xf>
    <xf borderId="5" fillId="0" fontId="2" numFmtId="0" xfId="0" applyAlignment="1" applyBorder="1" applyFont="1">
      <alignment horizontal="left" readingOrder="0" shrinkToFit="0" vertical="top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0" fillId="3" fontId="8" numFmtId="0" xfId="0" applyAlignment="1" applyFont="1">
      <alignment horizontal="left" readingOrder="0"/>
    </xf>
    <xf borderId="0" fillId="0" fontId="2" numFmtId="2" xfId="0" applyAlignment="1" applyFont="1" applyNumberFormat="1">
      <alignment horizontal="center"/>
    </xf>
    <xf borderId="2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2" xfId="0" applyAlignment="1" applyBorder="1" applyFont="1" applyNumberFormat="1">
      <alignment horizontal="center"/>
    </xf>
    <xf borderId="2" fillId="0" fontId="1" numFmtId="1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1" fillId="2" fontId="1" numFmtId="0" xfId="0" applyAlignment="1" applyBorder="1" applyFont="1">
      <alignment horizontal="center"/>
    </xf>
    <xf borderId="0" fillId="0" fontId="1" numFmtId="1" xfId="0" applyAlignment="1" applyFont="1" applyNumberFormat="1">
      <alignment horizontal="center"/>
    </xf>
    <xf borderId="1" fillId="0" fontId="2" numFmtId="9" xfId="0" applyAlignment="1" applyBorder="1" applyFont="1" applyNumberFormat="1">
      <alignment horizontal="center"/>
    </xf>
    <xf borderId="1" fillId="4" fontId="2" numFmtId="1" xfId="0" applyAlignment="1" applyBorder="1" applyFill="1" applyFont="1" applyNumberFormat="1">
      <alignment horizontal="center" readingOrder="0"/>
    </xf>
    <xf borderId="1" fillId="4" fontId="2" numFmtId="1" xfId="0" applyAlignment="1" applyBorder="1" applyFont="1" applyNumberFormat="1">
      <alignment horizontal="center"/>
    </xf>
    <xf borderId="13" fillId="0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5" numFmtId="0" xfId="0" applyAlignment="1" applyFont="1">
      <alignment horizontal="left"/>
    </xf>
    <xf borderId="1" fillId="0" fontId="2" numFmtId="0" xfId="0" applyAlignment="1" applyBorder="1" applyFont="1">
      <alignment horizontal="center" readingOrder="0"/>
    </xf>
    <xf borderId="0" fillId="0" fontId="2" numFmtId="2" xfId="0" applyFont="1" applyNumberFormat="1"/>
    <xf borderId="0" fillId="0" fontId="2" numFmtId="1" xfId="0" applyFont="1" applyNumberFormat="1"/>
    <xf borderId="2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14" fillId="4" fontId="2" numFmtId="1" xfId="0" applyAlignment="1" applyBorder="1" applyFont="1" applyNumberFormat="1">
      <alignment horizontal="center"/>
    </xf>
    <xf borderId="2" fillId="5" fontId="1" numFmtId="1" xfId="0" applyAlignment="1" applyBorder="1" applyFill="1" applyFont="1" applyNumberFormat="1">
      <alignment horizontal="center" vertical="center"/>
    </xf>
    <xf borderId="2" fillId="5" fontId="1" numFmtId="49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2" fillId="0" fontId="2" numFmtId="49" xfId="0" applyAlignment="1" applyBorder="1" applyFont="1" applyNumberFormat="1">
      <alignment horizontal="center" vertical="center"/>
    </xf>
    <xf borderId="1" fillId="0" fontId="2" numFmtId="1" xfId="0" applyAlignment="1" applyBorder="1" applyFont="1" applyNumberFormat="1">
      <alignment horizontal="center" vertical="center"/>
    </xf>
    <xf borderId="1" fillId="0" fontId="5" numFmtId="1" xfId="0" applyAlignment="1" applyBorder="1" applyFont="1" applyNumberFormat="1">
      <alignment horizontal="center" vertical="center"/>
    </xf>
    <xf borderId="0" fillId="0" fontId="5" numFmtId="0" xfId="0" applyFont="1"/>
    <xf borderId="0" fillId="0" fontId="5" numFmtId="1" xfId="0" applyFont="1" applyNumberFormat="1"/>
    <xf borderId="2" fillId="5" fontId="1" numFmtId="1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 readingOrder="0" vertical="center"/>
    </xf>
    <xf borderId="15" fillId="4" fontId="2" numFmtId="1" xfId="0" applyAlignment="1" applyBorder="1" applyFont="1" applyNumberFormat="1">
      <alignment horizontal="center"/>
    </xf>
    <xf borderId="0" fillId="0" fontId="2" numFmtId="9" xfId="0" applyFont="1" applyNumberFormat="1"/>
    <xf borderId="1" fillId="0" fontId="2" numFmtId="2" xfId="0" applyBorder="1" applyFont="1" applyNumberFormat="1"/>
    <xf borderId="0" fillId="0" fontId="9" numFmtId="0" xfId="0" applyFont="1"/>
  </cellXfs>
  <cellStyles count="1">
    <cellStyle xfId="0" name="Normal" builtinId="0"/>
  </cellStyles>
  <dxfs count="2">
    <dxf>
      <font/>
      <fill>
        <patternFill patternType="solid">
          <fgColor rgb="FFDFF0D3"/>
          <bgColor rgb="FFDFF0D3"/>
        </patternFill>
      </fill>
      <border/>
    </dxf>
    <dxf>
      <font/>
      <fill>
        <patternFill patternType="solid">
          <fgColor rgb="FFEAF4D7"/>
          <bgColor rgb="FFEAF4D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33"/>
    <col customWidth="1" min="2" max="2" width="33.44"/>
    <col customWidth="1" min="3" max="16" width="6.78"/>
    <col customWidth="1" min="17" max="17" width="33.44"/>
  </cols>
  <sheetData>
    <row r="5">
      <c r="A5" s="1"/>
      <c r="B5" s="2" t="str">
        <f>IFERROR(__xludf.DUMMYFUNCTION("UNIQUE(FILTER(template!$B$5:$B$38, NOT(ISBLANK(template!$B$5:$B$38))))
"),"Exercise")</f>
        <v>Exercise</v>
      </c>
      <c r="C5" s="2" t="str">
        <f>template!$J$3</f>
        <v>Week 1</v>
      </c>
      <c r="D5" s="2" t="str">
        <f>template!$Z$3</f>
        <v>Week 2</v>
      </c>
      <c r="E5" s="2" t="str">
        <f>template!$AP$3</f>
        <v>Week 3</v>
      </c>
      <c r="F5" s="2" t="str">
        <f>template!$BF$3</f>
        <v>Week 4</v>
      </c>
    </row>
    <row r="6">
      <c r="A6" s="3"/>
      <c r="B6" s="4" t="str">
        <f>IFERROR(__xludf.DUMMYFUNCTION("""COMPUTED_VALUE"""),"Leg press")</f>
        <v>Leg press</v>
      </c>
      <c r="C6" s="5">
        <f>AVERAGEIF(template!$J:$J,B6,template!$Y:$Y)</f>
        <v>0</v>
      </c>
      <c r="D6" s="5">
        <f>AVERAGEIF(template!$Z:$Z,B6,template!$AO:$AO)</f>
        <v>0</v>
      </c>
      <c r="E6" s="5">
        <f>AVERAGEIF(template!$AP:$AP,B6,template!$BE:$BE)</f>
        <v>0</v>
      </c>
      <c r="F6" s="5">
        <f>AVERAGEIF(template!$BF:$BF,B6,template!$BU:$BU)</f>
        <v>0</v>
      </c>
      <c r="G6" s="6" t="str">
        <f t="shared" ref="G6:G21" si="1">IF(SLOPE(C6:F6,{1;2;3;4}) &gt; 0.5, "Significant Improvement", IF(SLOPE(C6:F6,{1;2;3;4}) &gt; 0.1, "Slight Improvement", IF(SLOPE(C6:F6,{1;2;3;4}) &gt;= -0.1, "Stable", IF(SLOPE(C6:F6,{1;2;3;4}) &gt; -0.5, "Slight Decrease", "Significant Decrease"))))</f>
        <v>Stable</v>
      </c>
      <c r="H6" s="7"/>
      <c r="I6" s="8"/>
    </row>
    <row r="7">
      <c r="A7" s="3"/>
      <c r="B7" s="4" t="str">
        <f>IFERROR(__xludf.DUMMYFUNCTION("""COMPUTED_VALUE"""),"Panca piana")</f>
        <v>Panca piana</v>
      </c>
      <c r="C7" s="5">
        <f>AVERAGEIF(template!$J:$J,B7,template!$Y:$Y)</f>
        <v>62.06896552</v>
      </c>
      <c r="D7" s="5">
        <f>AVERAGEIF(template!$Z:$Z,B7,template!$AO:$AO)</f>
        <v>0</v>
      </c>
      <c r="E7" s="5">
        <f>AVERAGEIF(template!$AP:$AP,B7,template!$BE:$BE)</f>
        <v>0</v>
      </c>
      <c r="F7" s="5">
        <f>AVERAGEIF(template!$BF:$BF,B7,template!$BU:$BU)</f>
        <v>0</v>
      </c>
      <c r="G7" s="6" t="str">
        <f t="shared" si="1"/>
        <v>Significant Decrease</v>
      </c>
      <c r="H7" s="7"/>
      <c r="I7" s="8"/>
    </row>
    <row r="8">
      <c r="A8" s="3"/>
      <c r="B8" s="4" t="str">
        <f>IFERROR(__xludf.DUMMYFUNCTION("""COMPUTED_VALUE"""),"Rematore [manubri]")</f>
        <v>Rematore [manubri]</v>
      </c>
      <c r="C8" s="5">
        <f>AVERAGEIF(template!$J:$J,B8,template!$Y:$Y)</f>
        <v>0</v>
      </c>
      <c r="D8" s="5">
        <f>AVERAGEIF(template!$Z:$Z,B8,template!$AO:$AO)</f>
        <v>0</v>
      </c>
      <c r="E8" s="5">
        <f>AVERAGEIF(template!$AP:$AP,B8,template!$BE:$BE)</f>
        <v>0</v>
      </c>
      <c r="F8" s="5">
        <f>AVERAGEIF(template!$BF:$BF,B8,template!$BU:$BU)</f>
        <v>0</v>
      </c>
      <c r="G8" s="6" t="str">
        <f t="shared" si="1"/>
        <v>Stable</v>
      </c>
      <c r="H8" s="7"/>
      <c r="I8" s="8"/>
    </row>
    <row r="9">
      <c r="A9" s="3"/>
      <c r="B9" s="4" t="str">
        <f>IFERROR(__xludf.DUMMYFUNCTION("""COMPUTED_VALUE"""),"Shoulder press [manubri]")</f>
        <v>Shoulder press [manubri]</v>
      </c>
      <c r="C9" s="5">
        <f>AVERAGEIF(template!$J:$J,B9,template!$Y:$Y)</f>
        <v>0</v>
      </c>
      <c r="D9" s="5">
        <f>AVERAGEIF(template!$Z:$Z,B9,template!$AO:$AO)</f>
        <v>0</v>
      </c>
      <c r="E9" s="5">
        <f>AVERAGEIF(template!$AP:$AP,B9,template!$BE:$BE)</f>
        <v>0</v>
      </c>
      <c r="F9" s="5">
        <f>AVERAGEIF(template!$BF:$BF,B9,template!$BU:$BU)</f>
        <v>0</v>
      </c>
      <c r="G9" s="6" t="str">
        <f t="shared" si="1"/>
        <v>Stable</v>
      </c>
      <c r="H9" s="7"/>
      <c r="I9" s="8"/>
    </row>
    <row r="10">
      <c r="A10" s="3"/>
      <c r="B10" s="4" t="str">
        <f>IFERROR(__xludf.DUMMYFUNCTION("""COMPUTED_VALUE"""),"Curl [manubri]")</f>
        <v>Curl [manubri]</v>
      </c>
      <c r="C10" s="5">
        <f>AVERAGEIF(template!$J:$J,B10,template!$Y:$Y)</f>
        <v>0</v>
      </c>
      <c r="D10" s="5">
        <f>AVERAGEIF(template!$Z:$Z,B10,template!$AO:$AO)</f>
        <v>0</v>
      </c>
      <c r="E10" s="5">
        <f>AVERAGEIF(template!$AP:$AP,B10,template!$BE:$BE)</f>
        <v>0</v>
      </c>
      <c r="F10" s="5">
        <f>AVERAGEIF(template!$BF:$BF,B10,template!$BU:$BU)</f>
        <v>0</v>
      </c>
      <c r="G10" s="6" t="str">
        <f t="shared" si="1"/>
        <v>Stable</v>
      </c>
      <c r="H10" s="7"/>
      <c r="I10" s="8"/>
    </row>
    <row r="11">
      <c r="A11" s="3"/>
      <c r="B11" s="4" t="str">
        <f>IFERROR(__xludf.DUMMYFUNCTION("""COMPUTED_VALUE"""),"Plank")</f>
        <v>Plank</v>
      </c>
      <c r="C11" s="5">
        <f>AVERAGEIF(template!$J:$J,B11,template!$Y:$Y)</f>
        <v>0</v>
      </c>
      <c r="D11" s="5">
        <f>AVERAGEIF(template!$Z:$Z,B11,template!$AO:$AO)</f>
        <v>0</v>
      </c>
      <c r="E11" s="5">
        <f>AVERAGEIF(template!$AP:$AP,B11,template!$BE:$BE)</f>
        <v>0</v>
      </c>
      <c r="F11" s="5">
        <f>AVERAGEIF(template!$BF:$BF,B11,template!$BU:$BU)</f>
        <v>0</v>
      </c>
      <c r="G11" s="6" t="str">
        <f t="shared" si="1"/>
        <v>Stable</v>
      </c>
      <c r="H11" s="7"/>
      <c r="I11" s="8"/>
    </row>
    <row r="12">
      <c r="A12" s="3"/>
      <c r="B12" s="4" t="str">
        <f>IFERROR(__xludf.DUMMYFUNCTION("""COMPUTED_VALUE"""),"Leg curl ")</f>
        <v>Leg curl </v>
      </c>
      <c r="C12" s="5">
        <f>AVERAGEIF(template!$J:$J,B12,template!$Y:$Y)</f>
        <v>0</v>
      </c>
      <c r="D12" s="5">
        <f>AVERAGEIF(template!$Z:$Z,B12,template!$AO:$AO)</f>
        <v>0</v>
      </c>
      <c r="E12" s="5">
        <f>AVERAGEIF(template!$AP:$AP,B12,template!$BE:$BE)</f>
        <v>0</v>
      </c>
      <c r="F12" s="5">
        <f>AVERAGEIF(template!$BF:$BF,B12,template!$BU:$BU)</f>
        <v>0</v>
      </c>
      <c r="G12" s="6" t="str">
        <f t="shared" si="1"/>
        <v>Stable</v>
      </c>
      <c r="H12" s="7"/>
      <c r="I12" s="8"/>
    </row>
    <row r="13">
      <c r="A13" s="3"/>
      <c r="B13" s="4" t="str">
        <f>IFERROR(__xludf.DUMMYFUNCTION("""COMPUTED_VALUE"""),"Lat machine")</f>
        <v>Lat machine</v>
      </c>
      <c r="C13" s="5">
        <f>AVERAGEIF(template!$J:$J,B13,template!$Y:$Y)</f>
        <v>55.86206897</v>
      </c>
      <c r="D13" s="5">
        <f>AVERAGEIF(template!$Z:$Z,B13,template!$AO:$AO)</f>
        <v>0</v>
      </c>
      <c r="E13" s="5">
        <f>AVERAGEIF(template!$AP:$AP,B13,template!$BE:$BE)</f>
        <v>0</v>
      </c>
      <c r="F13" s="5">
        <f>AVERAGEIF(template!$BF:$BF,B13,template!$BU:$BU)</f>
        <v>0</v>
      </c>
      <c r="G13" s="6" t="str">
        <f t="shared" si="1"/>
        <v>Significant Decrease</v>
      </c>
      <c r="H13" s="7"/>
      <c r="I13" s="8"/>
    </row>
    <row r="14">
      <c r="A14" s="3"/>
      <c r="B14" s="4" t="str">
        <f>IFERROR(__xludf.DUMMYFUNCTION("""COMPUTED_VALUE"""),"Chest press")</f>
        <v>Chest press</v>
      </c>
      <c r="C14" s="5">
        <f>AVERAGEIF(template!$J:$J,B14,template!$Y:$Y)</f>
        <v>49.65517241</v>
      </c>
      <c r="D14" s="5">
        <f>AVERAGEIF(template!$Z:$Z,B14,template!$AO:$AO)</f>
        <v>0</v>
      </c>
      <c r="E14" s="5">
        <f>AVERAGEIF(template!$AP:$AP,B14,template!$BE:$BE)</f>
        <v>0</v>
      </c>
      <c r="F14" s="5">
        <f>AVERAGEIF(template!$BF:$BF,B14,template!$BU:$BU)</f>
        <v>0</v>
      </c>
      <c r="G14" s="6" t="str">
        <f t="shared" si="1"/>
        <v>Significant Decrease</v>
      </c>
      <c r="H14" s="7"/>
      <c r="I14" s="8"/>
    </row>
    <row r="15">
      <c r="A15" s="3"/>
      <c r="B15" s="4" t="str">
        <f>IFERROR(__xludf.DUMMYFUNCTION("""COMPUTED_VALUE"""),"Affondi [manubri]")</f>
        <v>Affondi [manubri]</v>
      </c>
      <c r="C15" s="5">
        <f>AVERAGEIF(template!$J:$J,B15,template!$Y:$Y)</f>
        <v>0</v>
      </c>
      <c r="D15" s="5">
        <f>AVERAGEIF(template!$Z:$Z,B15,template!$AO:$AO)</f>
        <v>0</v>
      </c>
      <c r="E15" s="5">
        <f>AVERAGEIF(template!$AP:$AP,B15,template!$BE:$BE)</f>
        <v>0</v>
      </c>
      <c r="F15" s="5">
        <f>AVERAGEIF(template!$BF:$BF,B15,template!$BU:$BU)</f>
        <v>0</v>
      </c>
      <c r="G15" s="6" t="str">
        <f t="shared" si="1"/>
        <v>Stable</v>
      </c>
      <c r="H15" s="7"/>
      <c r="I15" s="8"/>
    </row>
    <row r="16">
      <c r="A16" s="3"/>
      <c r="B16" s="4" t="str">
        <f>IFERROR(__xludf.DUMMYFUNCTION("""COMPUTED_VALUE"""),"Estensioni tricipiti [cavi]")</f>
        <v>Estensioni tricipiti [cavi]</v>
      </c>
      <c r="C16" s="5">
        <f>AVERAGEIF(template!$J:$J,B16,template!$Y:$Y)</f>
        <v>0</v>
      </c>
      <c r="D16" s="5">
        <f>AVERAGEIF(template!$Z:$Z,B16,template!$AO:$AO)</f>
        <v>0</v>
      </c>
      <c r="E16" s="5">
        <f>AVERAGEIF(template!$AP:$AP,B16,template!$BE:$BE)</f>
        <v>0</v>
      </c>
      <c r="F16" s="5">
        <f>AVERAGEIF(template!$BF:$BF,B16,template!$BU:$BU)</f>
        <v>0</v>
      </c>
      <c r="G16" s="6" t="str">
        <f t="shared" si="1"/>
        <v>Stable</v>
      </c>
      <c r="H16" s="7"/>
      <c r="I16" s="8"/>
    </row>
    <row r="17">
      <c r="A17" s="3"/>
      <c r="B17" s="4" t="str">
        <f>IFERROR(__xludf.DUMMYFUNCTION("""COMPUTED_VALUE"""),"Leg curl")</f>
        <v>Leg curl</v>
      </c>
      <c r="C17" s="5">
        <f>AVERAGEIF(template!$J:$J,B17,template!$Y:$Y)</f>
        <v>0</v>
      </c>
      <c r="D17" s="5">
        <f>AVERAGEIF(template!$Z:$Z,B17,template!$AO:$AO)</f>
        <v>0</v>
      </c>
      <c r="E17" s="5">
        <f>AVERAGEIF(template!$AP:$AP,B17,template!$BE:$BE)</f>
        <v>0</v>
      </c>
      <c r="F17" s="5">
        <f>AVERAGEIF(template!$BF:$BF,B17,template!$BU:$BU)</f>
        <v>0</v>
      </c>
      <c r="G17" s="6" t="str">
        <f t="shared" si="1"/>
        <v>Stable</v>
      </c>
      <c r="H17" s="7"/>
      <c r="I17" s="8"/>
    </row>
    <row r="18">
      <c r="A18" s="3"/>
      <c r="B18" s="4" t="str">
        <f>IFERROR(__xludf.DUMMYFUNCTION("""COMPUTED_VALUE"""),"Panca inclinata [manubri]")</f>
        <v>Panca inclinata [manubri]</v>
      </c>
      <c r="C18" s="5">
        <f>AVERAGEIF(template!$J:$J,B18,template!$Y:$Y)</f>
        <v>0</v>
      </c>
      <c r="D18" s="5">
        <f>AVERAGEIF(template!$Z:$Z,B18,template!$AO:$AO)</f>
        <v>0</v>
      </c>
      <c r="E18" s="5">
        <f>AVERAGEIF(template!$AP:$AP,B18,template!$BE:$BE)</f>
        <v>0</v>
      </c>
      <c r="F18" s="5">
        <f>AVERAGEIF(template!$BF:$BF,B18,template!$BU:$BU)</f>
        <v>0</v>
      </c>
      <c r="G18" s="6" t="str">
        <f t="shared" si="1"/>
        <v>Stable</v>
      </c>
      <c r="H18" s="7"/>
      <c r="I18" s="8"/>
    </row>
    <row r="19">
      <c r="A19" s="3"/>
      <c r="B19" s="4" t="str">
        <f>IFERROR(__xludf.DUMMYFUNCTION("""COMPUTED_VALUE"""),"Panca inclinata")</f>
        <v>Panca inclinata</v>
      </c>
      <c r="C19" s="5">
        <f>AVERAGEIF(template!$J:$J,B19,template!$Y:$Y)</f>
        <v>0</v>
      </c>
      <c r="D19" s="5">
        <f>AVERAGEIF(template!$Z:$Z,B19,template!$AO:$AO)</f>
        <v>0</v>
      </c>
      <c r="E19" s="5">
        <f>AVERAGEIF(template!$AP:$AP,B19,template!$BE:$BE)</f>
        <v>0</v>
      </c>
      <c r="F19" s="5">
        <f>AVERAGEIF(template!$BF:$BF,B19,template!$BU:$BU)</f>
        <v>0</v>
      </c>
      <c r="G19" s="6" t="str">
        <f t="shared" si="1"/>
        <v>Stable</v>
      </c>
      <c r="H19" s="7"/>
      <c r="I19" s="8"/>
    </row>
    <row r="20">
      <c r="A20" s="3"/>
      <c r="B20" s="4" t="str">
        <f>IFERROR(__xludf.DUMMYFUNCTION("""COMPUTED_VALUE"""),"Pulley")</f>
        <v>Pulley</v>
      </c>
      <c r="C20" s="5">
        <f>AVERAGEIF(template!$J:$J,B20,template!$Y:$Y)</f>
        <v>0</v>
      </c>
      <c r="D20" s="5">
        <f>AVERAGEIF(template!$Z:$Z,B20,template!$AO:$AO)</f>
        <v>0</v>
      </c>
      <c r="E20" s="5">
        <f>AVERAGEIF(template!$AP:$AP,B20,template!$BE:$BE)</f>
        <v>0</v>
      </c>
      <c r="F20" s="5">
        <f>AVERAGEIF(template!$BF:$BF,B20,template!$BU:$BU)</f>
        <v>0</v>
      </c>
      <c r="G20" s="6" t="str">
        <f t="shared" si="1"/>
        <v>Stable</v>
      </c>
      <c r="H20" s="7"/>
      <c r="I20" s="8"/>
    </row>
    <row r="21">
      <c r="A21" s="3"/>
      <c r="B21" s="4" t="str">
        <f>IFERROR(__xludf.DUMMYFUNCTION("""COMPUTED_VALUE"""),"7x7x7")</f>
        <v>7x7x7</v>
      </c>
      <c r="C21" s="5">
        <f>AVERAGEIF(template!$J:$J,B21,template!$Y:$Y)</f>
        <v>0</v>
      </c>
      <c r="D21" s="5">
        <f>AVERAGEIF(template!$Z:$Z,B21,template!$AO:$AO)</f>
        <v>0</v>
      </c>
      <c r="E21" s="5">
        <f>AVERAGEIF(template!$AP:$AP,B21,template!$BE:$BE)</f>
        <v>0</v>
      </c>
      <c r="F21" s="5">
        <f>AVERAGEIF(template!$BF:$BF,B21,template!$BU:$BU)</f>
        <v>0</v>
      </c>
      <c r="G21" s="6" t="str">
        <f t="shared" si="1"/>
        <v>Stable</v>
      </c>
      <c r="H21" s="7"/>
      <c r="I21" s="8"/>
    </row>
    <row r="22">
      <c r="A22" s="9"/>
      <c r="B22" s="9"/>
      <c r="C22" s="9"/>
      <c r="D22" s="9"/>
      <c r="E22" s="9"/>
      <c r="F22" s="9"/>
      <c r="G22" s="9"/>
      <c r="H22" s="9"/>
      <c r="I22" s="9"/>
    </row>
    <row r="23">
      <c r="A23" s="1"/>
      <c r="B23" s="2" t="str">
        <f>IFERROR(__xludf.DUMMYFUNCTION("UNIQUE(FILTER(template!$B$5:$B$38, NOT(ISBLANK(template!$B$5:$B$38))))
"),"Exercise")</f>
        <v>Exercise</v>
      </c>
      <c r="C23" s="2" t="str">
        <f>template!$J$3</f>
        <v>Week 1</v>
      </c>
      <c r="D23" s="2" t="str">
        <f>template!$Z$3</f>
        <v>Week 2</v>
      </c>
      <c r="E23" s="2" t="str">
        <f>template!$AP$3</f>
        <v>Week 3</v>
      </c>
      <c r="F23" s="2" t="str">
        <f>template!$BF$3</f>
        <v>Week 4</v>
      </c>
    </row>
    <row r="24">
      <c r="A24" s="3"/>
      <c r="B24" s="4" t="str">
        <f>IFERROR(__xludf.DUMMYFUNCTION("""COMPUTED_VALUE"""),"Leg press")</f>
        <v>Leg press</v>
      </c>
      <c r="C24" s="5">
        <f>SUMIF(template!$J:$J,B24,template!$X:$X)</f>
        <v>0</v>
      </c>
      <c r="D24" s="5">
        <f>SUMIF(template!$Z:$Z,B24,template!$AN:$AN)</f>
        <v>0</v>
      </c>
      <c r="E24" s="5">
        <f>SUMIF(template!$AP:$AP,B24,template!$BD:$BD)</f>
        <v>0</v>
      </c>
      <c r="F24" s="5">
        <f>SUMIF(template!$BF:$BF,B24,template!$BT:$BT)</f>
        <v>0</v>
      </c>
    </row>
    <row r="25">
      <c r="A25" s="3"/>
      <c r="B25" s="4" t="str">
        <f>IFERROR(__xludf.DUMMYFUNCTION("""COMPUTED_VALUE"""),"Panca piana")</f>
        <v>Panca piana</v>
      </c>
      <c r="C25" s="5">
        <f>SUMIF(template!$J:$J,B25,template!$X:$X)</f>
        <v>664.8186874</v>
      </c>
      <c r="D25" s="5">
        <f>SUMIF(template!$Z:$Z,B25,template!$AN:$AN)</f>
        <v>0</v>
      </c>
      <c r="E25" s="5">
        <f>SUMIF(template!$AP:$AP,B25,template!$BD:$BD)</f>
        <v>0</v>
      </c>
      <c r="F25" s="5">
        <f>SUMIF(template!$BF:$BF,B25,template!$BT:$BT)</f>
        <v>0</v>
      </c>
    </row>
    <row r="26">
      <c r="A26" s="3"/>
      <c r="B26" s="4" t="str">
        <f>IFERROR(__xludf.DUMMYFUNCTION("""COMPUTED_VALUE"""),"Rematore [manubri]")</f>
        <v>Rematore [manubri]</v>
      </c>
      <c r="C26" s="5">
        <f>SUMIF(template!$J:$J,B26,template!$X:$X)</f>
        <v>0</v>
      </c>
      <c r="D26" s="5">
        <f>SUMIF(template!$Z:$Z,B26,template!$AN:$AN)</f>
        <v>0</v>
      </c>
      <c r="E26" s="5">
        <f>SUMIF(template!$AP:$AP,B26,template!$BD:$BD)</f>
        <v>0</v>
      </c>
      <c r="F26" s="5">
        <f>SUMIF(template!$BF:$BF,B26,template!$BT:$BT)</f>
        <v>0</v>
      </c>
    </row>
    <row r="27">
      <c r="A27" s="3"/>
      <c r="B27" s="4" t="str">
        <f>IFERROR(__xludf.DUMMYFUNCTION("""COMPUTED_VALUE"""),"Shoulder press [manubri]")</f>
        <v>Shoulder press [manubri]</v>
      </c>
      <c r="C27" s="5">
        <f>SUMIF(template!$J:$J,B27,template!$X:$X)</f>
        <v>0</v>
      </c>
      <c r="D27" s="5">
        <f>SUMIF(template!$Z:$Z,B27,template!$AN:$AN)</f>
        <v>0</v>
      </c>
      <c r="E27" s="5">
        <f>SUMIF(template!$AP:$AP,B27,template!$BD:$BD)</f>
        <v>0</v>
      </c>
      <c r="F27" s="5">
        <f>SUMIF(template!$BF:$BF,B27,template!$BT:$BT)</f>
        <v>0</v>
      </c>
    </row>
    <row r="28">
      <c r="A28" s="3"/>
      <c r="B28" s="4" t="str">
        <f>IFERROR(__xludf.DUMMYFUNCTION("""COMPUTED_VALUE"""),"Curl [manubri]")</f>
        <v>Curl [manubri]</v>
      </c>
      <c r="C28" s="5">
        <f>SUMIF(template!$J:$J,B28,template!$X:$X)</f>
        <v>0</v>
      </c>
      <c r="D28" s="5">
        <f>SUMIF(template!$Z:$Z,B28,template!$AN:$AN)</f>
        <v>0</v>
      </c>
      <c r="E28" s="5">
        <f>SUMIF(template!$AP:$AP,B28,template!$BD:$BD)</f>
        <v>0</v>
      </c>
      <c r="F28" s="5">
        <f>SUMIF(template!$BF:$BF,B28,template!$BT:$BT)</f>
        <v>0</v>
      </c>
    </row>
    <row r="29">
      <c r="A29" s="3"/>
      <c r="B29" s="4" t="str">
        <f>IFERROR(__xludf.DUMMYFUNCTION("""COMPUTED_VALUE"""),"Plank")</f>
        <v>Plank</v>
      </c>
      <c r="C29" s="5">
        <f>SUMIF(template!$J:$J,B29,template!$X:$X)</f>
        <v>0</v>
      </c>
      <c r="D29" s="5">
        <f>SUMIF(template!$Z:$Z,B29,template!$AN:$AN)</f>
        <v>0</v>
      </c>
      <c r="E29" s="5">
        <f>SUMIF(template!$AP:$AP,B29,template!$BD:$BD)</f>
        <v>0</v>
      </c>
      <c r="F29" s="5">
        <f>SUMIF(template!$BF:$BF,B29,template!$BT:$BT)</f>
        <v>0</v>
      </c>
    </row>
    <row r="30">
      <c r="A30" s="3"/>
      <c r="B30" s="4" t="str">
        <f>IFERROR(__xludf.DUMMYFUNCTION("""COMPUTED_VALUE"""),"Leg curl ")</f>
        <v>Leg curl </v>
      </c>
      <c r="C30" s="5">
        <f>SUMIF(template!$J:$J,B30,template!$X:$X)</f>
        <v>0</v>
      </c>
      <c r="D30" s="5">
        <f>SUMIF(template!$Z:$Z,B30,template!$AN:$AN)</f>
        <v>0</v>
      </c>
      <c r="E30" s="5">
        <f>SUMIF(template!$AP:$AP,B30,template!$BD:$BD)</f>
        <v>0</v>
      </c>
      <c r="F30" s="5">
        <f>SUMIF(template!$BF:$BF,B30,template!$BT:$BT)</f>
        <v>0</v>
      </c>
    </row>
    <row r="31">
      <c r="A31" s="3"/>
      <c r="B31" s="4" t="str">
        <f>IFERROR(__xludf.DUMMYFUNCTION("""COMPUTED_VALUE"""),"Lat machine")</f>
        <v>Lat machine</v>
      </c>
      <c r="C31" s="5">
        <f>SUMIF(template!$J:$J,B31,template!$X:$X)</f>
        <v>1178.295129</v>
      </c>
      <c r="D31" s="5">
        <f>SUMIF(template!$Z:$Z,B31,template!$AN:$AN)</f>
        <v>0</v>
      </c>
      <c r="E31" s="5">
        <f>SUMIF(template!$AP:$AP,B31,template!$BD:$BD)</f>
        <v>0</v>
      </c>
      <c r="F31" s="5">
        <f>SUMIF(template!$BF:$BF,B31,template!$BT:$BT)</f>
        <v>0</v>
      </c>
    </row>
    <row r="32">
      <c r="A32" s="3"/>
      <c r="B32" s="4" t="str">
        <f>IFERROR(__xludf.DUMMYFUNCTION("""COMPUTED_VALUE"""),"Chest press")</f>
        <v>Chest press</v>
      </c>
      <c r="C32" s="5">
        <f>SUMIF(template!$J:$J,B32,template!$X:$X)</f>
        <v>711.6517241</v>
      </c>
      <c r="D32" s="5">
        <f>SUMIF(template!$Z:$Z,B32,template!$AN:$AN)</f>
        <v>0</v>
      </c>
      <c r="E32" s="5">
        <f>SUMIF(template!$AP:$AP,B32,template!$BD:$BD)</f>
        <v>0</v>
      </c>
      <c r="F32" s="5">
        <f>SUMIF(template!$BF:$BF,B32,template!$BT:$BT)</f>
        <v>0</v>
      </c>
    </row>
    <row r="33">
      <c r="A33" s="3"/>
      <c r="B33" s="4" t="str">
        <f>IFERROR(__xludf.DUMMYFUNCTION("""COMPUTED_VALUE"""),"Affondi [manubri]")</f>
        <v>Affondi [manubri]</v>
      </c>
      <c r="C33" s="5">
        <f>SUMIF(template!$J:$J,B33,template!$X:$X)</f>
        <v>0</v>
      </c>
      <c r="D33" s="5">
        <f>SUMIF(template!$Z:$Z,B33,template!$AN:$AN)</f>
        <v>0</v>
      </c>
      <c r="E33" s="5">
        <f>SUMIF(template!$AP:$AP,B33,template!$BD:$BD)</f>
        <v>0</v>
      </c>
      <c r="F33" s="5">
        <f>SUMIF(template!$BF:$BF,B33,template!$BT:$BT)</f>
        <v>0</v>
      </c>
    </row>
    <row r="34">
      <c r="A34" s="3"/>
      <c r="B34" s="4" t="str">
        <f>IFERROR(__xludf.DUMMYFUNCTION("""COMPUTED_VALUE"""),"Estensioni tricipiti [cavi]")</f>
        <v>Estensioni tricipiti [cavi]</v>
      </c>
      <c r="C34" s="5">
        <f>SUMIF(template!$J:$J,B34,template!$X:$X)</f>
        <v>0</v>
      </c>
      <c r="D34" s="5">
        <f>SUMIF(template!$Z:$Z,B34,template!$AN:$AN)</f>
        <v>0</v>
      </c>
      <c r="E34" s="5">
        <f>SUMIF(template!$AP:$AP,B34,template!$BD:$BD)</f>
        <v>0</v>
      </c>
      <c r="F34" s="5">
        <f>SUMIF(template!$BF:$BF,B34,template!$BT:$BT)</f>
        <v>0</v>
      </c>
    </row>
    <row r="35">
      <c r="A35" s="3"/>
      <c r="B35" s="4" t="str">
        <f>IFERROR(__xludf.DUMMYFUNCTION("""COMPUTED_VALUE"""),"Leg curl")</f>
        <v>Leg curl</v>
      </c>
      <c r="C35" s="5">
        <f>SUMIF(template!$J:$J,B35,template!$X:$X)</f>
        <v>0</v>
      </c>
      <c r="D35" s="5">
        <f>SUMIF(template!$Z:$Z,B35,template!$AN:$AN)</f>
        <v>0</v>
      </c>
      <c r="E35" s="5">
        <f>SUMIF(template!$AP:$AP,B35,template!$BD:$BD)</f>
        <v>0</v>
      </c>
      <c r="F35" s="5">
        <f>SUMIF(template!$BF:$BF,B35,template!$BT:$BT)</f>
        <v>0</v>
      </c>
    </row>
    <row r="36">
      <c r="A36" s="3"/>
      <c r="B36" s="4" t="str">
        <f>IFERROR(__xludf.DUMMYFUNCTION("""COMPUTED_VALUE"""),"Panca inclinata [manubri]")</f>
        <v>Panca inclinata [manubri]</v>
      </c>
      <c r="C36" s="5">
        <f>SUMIF(template!$J:$J,B36,template!$X:$X)</f>
        <v>0</v>
      </c>
      <c r="D36" s="5">
        <f>SUMIF(template!$Z:$Z,B36,template!$AN:$AN)</f>
        <v>0</v>
      </c>
      <c r="E36" s="5">
        <f>SUMIF(template!$AP:$AP,B36,template!$BD:$BD)</f>
        <v>0</v>
      </c>
      <c r="F36" s="5">
        <f>SUMIF(template!$BF:$BF,B36,template!$BT:$BT)</f>
        <v>0</v>
      </c>
    </row>
    <row r="37">
      <c r="A37" s="3"/>
      <c r="B37" s="4" t="str">
        <f>IFERROR(__xludf.DUMMYFUNCTION("""COMPUTED_VALUE"""),"Panca inclinata")</f>
        <v>Panca inclinata</v>
      </c>
      <c r="C37" s="5">
        <f>SUMIF(template!$J:$J,B37,template!$X:$X)</f>
        <v>0</v>
      </c>
      <c r="D37" s="5">
        <f>SUMIF(template!$Z:$Z,B37,template!$AN:$AN)</f>
        <v>0</v>
      </c>
      <c r="E37" s="5">
        <f>SUMIF(template!$AP:$AP,B37,template!$BD:$BD)</f>
        <v>0</v>
      </c>
      <c r="F37" s="5">
        <f>SUMIF(template!$BF:$BF,B37,template!$BT:$BT)</f>
        <v>0</v>
      </c>
    </row>
    <row r="38">
      <c r="A38" s="3"/>
      <c r="B38" s="4" t="str">
        <f>IFERROR(__xludf.DUMMYFUNCTION("""COMPUTED_VALUE"""),"Pulley")</f>
        <v>Pulley</v>
      </c>
      <c r="C38" s="5">
        <f>SUMIF(template!$J:$J,B38,template!$X:$X)</f>
        <v>0</v>
      </c>
      <c r="D38" s="5">
        <f>SUMIF(template!$Z:$Z,B38,template!$AN:$AN)</f>
        <v>0</v>
      </c>
      <c r="E38" s="5">
        <f>SUMIF(template!$AP:$AP,B38,template!$BD:$BD)</f>
        <v>0</v>
      </c>
      <c r="F38" s="5">
        <f>SUMIF(template!$BF:$BF,B38,template!$BT:$BT)</f>
        <v>0</v>
      </c>
    </row>
    <row r="39">
      <c r="A39" s="3"/>
      <c r="B39" s="4" t="str">
        <f>IFERROR(__xludf.DUMMYFUNCTION("""COMPUTED_VALUE"""),"7x7x7")</f>
        <v>7x7x7</v>
      </c>
      <c r="C39" s="5">
        <f>SUMIF(template!$J:$J,B39,template!$X:$X)</f>
        <v>0</v>
      </c>
      <c r="D39" s="5">
        <f>SUMIF(template!$Z:$Z,B39,template!$AN:$AN)</f>
        <v>0</v>
      </c>
      <c r="E39" s="5">
        <f>SUMIF(template!$AP:$AP,B39,template!$BD:$BD)</f>
        <v>0</v>
      </c>
      <c r="F39" s="5">
        <f>SUMIF(template!$BF:$BF,B39,template!$BT:$BT)</f>
        <v>0</v>
      </c>
    </row>
  </sheetData>
  <mergeCells count="16">
    <mergeCell ref="G6:I6"/>
    <mergeCell ref="G7:I7"/>
    <mergeCell ref="G8:I8"/>
    <mergeCell ref="G9:I9"/>
    <mergeCell ref="G10:I10"/>
    <mergeCell ref="G11:I11"/>
    <mergeCell ref="G12:I12"/>
    <mergeCell ref="G20:I20"/>
    <mergeCell ref="G21:I21"/>
    <mergeCell ref="G13:I13"/>
    <mergeCell ref="G14:I14"/>
    <mergeCell ref="G15:I15"/>
    <mergeCell ref="G16:I16"/>
    <mergeCell ref="G17:I17"/>
    <mergeCell ref="G18:I18"/>
    <mergeCell ref="G19:I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11.22"/>
    <col customWidth="1" min="2" max="2" width="33.44"/>
    <col customWidth="1" min="3" max="5" width="6.78"/>
    <col customWidth="1" min="6" max="9" width="13.44"/>
    <col customWidth="1" min="10" max="10" width="33.44"/>
    <col customWidth="1" min="11" max="25" width="6.78"/>
    <col customWidth="1" min="26" max="26" width="33.44"/>
    <col customWidth="1" min="27" max="41" width="6.78"/>
    <col customWidth="1" min="42" max="42" width="33.44"/>
    <col customWidth="1" min="43" max="57" width="6.78"/>
    <col customWidth="1" min="58" max="58" width="33.44"/>
    <col customWidth="1" min="59" max="73" width="6.78"/>
    <col customWidth="1" min="74" max="74" width="11.22"/>
  </cols>
  <sheetData>
    <row r="1">
      <c r="H1" s="10"/>
      <c r="I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</row>
    <row r="2">
      <c r="H2" s="10"/>
      <c r="I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</row>
    <row r="3">
      <c r="A3" s="13"/>
      <c r="B3" s="3"/>
      <c r="D3" s="3"/>
      <c r="E3" s="3"/>
      <c r="F3" s="3"/>
      <c r="G3" s="3"/>
      <c r="H3" s="3"/>
      <c r="I3" s="14"/>
      <c r="J3" s="15" t="s">
        <v>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8"/>
      <c r="Z3" s="15" t="str">
        <f>IFERROR(__xludf.DUMMYFUNCTION("IFERROR(REGEXREPLACE(J3,""\d+$"",TEXT(VALUE(REGEXEXTRACT(J3,""\d+$""))+1,""0"")),""Block 1"")"),"Week 2")</f>
        <v>Week 2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8"/>
      <c r="AP3" s="15" t="str">
        <f>IFERROR(__xludf.DUMMYFUNCTION("IFERROR(REGEXREPLACE(Z3,""\d+$"",TEXT(VALUE(REGEXEXTRACT(Z3,""\d+$""))+1,""0"")),""Block 1"")"),"Week 3")</f>
        <v>Week 3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8"/>
      <c r="BF3" s="15" t="str">
        <f>IFERROR(__xludf.DUMMYFUNCTION("IFERROR(REGEXREPLACE(AP3,""\d+$"",TEXT(VALUE(REGEXEXTRACT(AP3,""\d+$""))+1,""0"")),""Block 1"")"),"Week 4")</f>
        <v>Week 4</v>
      </c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8"/>
      <c r="BV3" s="16"/>
    </row>
    <row r="4">
      <c r="A4" s="13"/>
      <c r="D4" s="17"/>
      <c r="E4" s="17"/>
      <c r="F4" s="3"/>
      <c r="G4" s="3"/>
      <c r="H4" s="3"/>
      <c r="I4" s="14"/>
      <c r="J4" s="18" t="s">
        <v>1</v>
      </c>
      <c r="K4" s="18" t="s">
        <v>2</v>
      </c>
      <c r="L4" s="18" t="s">
        <v>3</v>
      </c>
      <c r="M4" s="19" t="s">
        <v>4</v>
      </c>
      <c r="N4" s="7"/>
      <c r="O4" s="7"/>
      <c r="P4" s="7"/>
      <c r="Q4" s="7"/>
      <c r="R4" s="7"/>
      <c r="S4" s="7"/>
      <c r="T4" s="7"/>
      <c r="U4" s="7"/>
      <c r="V4" s="8"/>
      <c r="W4" s="20" t="s">
        <v>5</v>
      </c>
      <c r="X4" s="20" t="s">
        <v>6</v>
      </c>
      <c r="Y4" s="20" t="s">
        <v>7</v>
      </c>
      <c r="Z4" s="18" t="s">
        <v>1</v>
      </c>
      <c r="AA4" s="18" t="s">
        <v>2</v>
      </c>
      <c r="AB4" s="18" t="s">
        <v>3</v>
      </c>
      <c r="AC4" s="19" t="s">
        <v>4</v>
      </c>
      <c r="AD4" s="7"/>
      <c r="AE4" s="7"/>
      <c r="AF4" s="7"/>
      <c r="AG4" s="7"/>
      <c r="AH4" s="7"/>
      <c r="AI4" s="7"/>
      <c r="AJ4" s="7"/>
      <c r="AK4" s="7"/>
      <c r="AL4" s="8"/>
      <c r="AM4" s="20" t="s">
        <v>5</v>
      </c>
      <c r="AN4" s="20" t="s">
        <v>6</v>
      </c>
      <c r="AO4" s="20" t="s">
        <v>7</v>
      </c>
      <c r="AP4" s="18" t="s">
        <v>1</v>
      </c>
      <c r="AQ4" s="18" t="s">
        <v>2</v>
      </c>
      <c r="AR4" s="18" t="s">
        <v>3</v>
      </c>
      <c r="AS4" s="19" t="s">
        <v>4</v>
      </c>
      <c r="AT4" s="7"/>
      <c r="AU4" s="7"/>
      <c r="AV4" s="7"/>
      <c r="AW4" s="7"/>
      <c r="AX4" s="7"/>
      <c r="AY4" s="7"/>
      <c r="AZ4" s="7"/>
      <c r="BA4" s="7"/>
      <c r="BB4" s="8"/>
      <c r="BC4" s="20" t="s">
        <v>5</v>
      </c>
      <c r="BD4" s="20" t="s">
        <v>6</v>
      </c>
      <c r="BE4" s="20" t="s">
        <v>7</v>
      </c>
      <c r="BF4" s="18" t="s">
        <v>1</v>
      </c>
      <c r="BG4" s="18" t="s">
        <v>2</v>
      </c>
      <c r="BH4" s="18" t="s">
        <v>3</v>
      </c>
      <c r="BI4" s="19" t="s">
        <v>4</v>
      </c>
      <c r="BJ4" s="7"/>
      <c r="BK4" s="7"/>
      <c r="BL4" s="7"/>
      <c r="BM4" s="7"/>
      <c r="BN4" s="7"/>
      <c r="BO4" s="7"/>
      <c r="BP4" s="7"/>
      <c r="BQ4" s="7"/>
      <c r="BR4" s="8"/>
      <c r="BS4" s="20" t="s">
        <v>5</v>
      </c>
      <c r="BT4" s="20" t="s">
        <v>6</v>
      </c>
      <c r="BU4" s="20" t="s">
        <v>7</v>
      </c>
      <c r="BV4" s="21"/>
    </row>
    <row r="5">
      <c r="A5" s="13"/>
      <c r="B5" s="2" t="s">
        <v>1</v>
      </c>
      <c r="C5" s="2" t="s">
        <v>7</v>
      </c>
      <c r="D5" s="15" t="s">
        <v>8</v>
      </c>
      <c r="E5" s="8"/>
      <c r="F5" s="2" t="s">
        <v>9</v>
      </c>
      <c r="G5" s="2" t="s">
        <v>10</v>
      </c>
      <c r="H5" s="2" t="s">
        <v>11</v>
      </c>
      <c r="I5" s="22" t="s">
        <v>12</v>
      </c>
      <c r="J5" s="4"/>
      <c r="K5" s="23"/>
      <c r="L5" s="24"/>
      <c r="M5" s="25"/>
      <c r="N5" s="7"/>
      <c r="O5" s="7"/>
      <c r="P5" s="7"/>
      <c r="Q5" s="7"/>
      <c r="R5" s="7"/>
      <c r="S5" s="7"/>
      <c r="T5" s="7"/>
      <c r="U5" s="7"/>
      <c r="V5" s="8"/>
      <c r="W5" s="24"/>
      <c r="X5" s="24"/>
      <c r="Y5" s="24"/>
      <c r="Z5" s="4"/>
      <c r="AA5" s="23"/>
      <c r="AB5" s="24"/>
      <c r="AC5" s="25"/>
      <c r="AD5" s="7"/>
      <c r="AE5" s="7"/>
      <c r="AF5" s="7"/>
      <c r="AG5" s="7"/>
      <c r="AH5" s="7"/>
      <c r="AI5" s="7"/>
      <c r="AJ5" s="7"/>
      <c r="AK5" s="7"/>
      <c r="AL5" s="8"/>
      <c r="AM5" s="24"/>
      <c r="AN5" s="24"/>
      <c r="AO5" s="24"/>
      <c r="AP5" s="4"/>
      <c r="AQ5" s="23"/>
      <c r="AR5" s="24"/>
      <c r="AS5" s="25"/>
      <c r="AT5" s="7"/>
      <c r="AU5" s="7"/>
      <c r="AV5" s="7"/>
      <c r="AW5" s="7"/>
      <c r="AX5" s="7"/>
      <c r="AY5" s="7"/>
      <c r="AZ5" s="7"/>
      <c r="BA5" s="7"/>
      <c r="BB5" s="8"/>
      <c r="BC5" s="24"/>
      <c r="BD5" s="24"/>
      <c r="BE5" s="24"/>
      <c r="BF5" s="4"/>
      <c r="BG5" s="23"/>
      <c r="BH5" s="24"/>
      <c r="BI5" s="25"/>
      <c r="BJ5" s="7"/>
      <c r="BK5" s="7"/>
      <c r="BL5" s="7"/>
      <c r="BM5" s="7"/>
      <c r="BN5" s="7"/>
      <c r="BO5" s="7"/>
      <c r="BP5" s="7"/>
      <c r="BQ5" s="7"/>
      <c r="BR5" s="8"/>
      <c r="BS5" s="24"/>
      <c r="BT5" s="24"/>
      <c r="BU5" s="24"/>
      <c r="BV5" s="26"/>
    </row>
    <row r="6">
      <c r="A6" s="13"/>
      <c r="B6" s="27" t="s">
        <v>13</v>
      </c>
      <c r="C6" s="28">
        <v>70.0</v>
      </c>
      <c r="D6" s="29">
        <v>0.83</v>
      </c>
      <c r="E6" s="29">
        <v>0.89</v>
      </c>
      <c r="F6" s="28">
        <v>150.0</v>
      </c>
      <c r="G6" s="28">
        <v>5.0</v>
      </c>
      <c r="H6" s="28" t="s">
        <v>14</v>
      </c>
      <c r="I6" s="23"/>
      <c r="J6" s="4" t="str">
        <f t="shared" ref="J6:J11" si="1">$B6</f>
        <v>Leg press</v>
      </c>
      <c r="K6" s="30">
        <f t="shared" ref="K6:K7" si="2">IF(ISNUMBER(M6),calculateSets(M6:V6,J$3,0,50%,$H6,$I6),1)</f>
        <v>1</v>
      </c>
      <c r="L6" s="5">
        <f t="shared" ref="L6:L11" si="3">IF(AND(ISNUMBER(C6),C6&gt;0),calculateWeight(C6,$D6,$E6,$F6,$G6,0,J$3),0)</f>
        <v>60</v>
      </c>
      <c r="M6" s="30"/>
      <c r="N6" s="30"/>
      <c r="O6" s="23"/>
      <c r="P6" s="23"/>
      <c r="Q6" s="23"/>
      <c r="R6" s="23"/>
      <c r="S6" s="23"/>
      <c r="T6" s="23"/>
      <c r="U6" s="23"/>
      <c r="V6" s="23"/>
      <c r="W6" s="28">
        <f t="shared" ref="W6:W10" si="4">IF(ISNUMBER(M6),calculateEffectiveRepetitions(M6:V6),0)</f>
        <v>0</v>
      </c>
      <c r="X6" s="28">
        <f t="shared" ref="X6:X11" si="5">IF(AND(ISNUMBER(M6),ISNUMBER(L6)),calculateHVL(M6:V6,L6),0)</f>
        <v>0</v>
      </c>
      <c r="Y6" s="28">
        <f t="shared" ref="Y6:Y11" si="6">IF(AND(ISNUMBER(L6),ISNUMBER(M6)),calculate1RM(L6,M6),0)</f>
        <v>0</v>
      </c>
      <c r="Z6" s="4" t="str">
        <f t="shared" ref="Z6:Z11" si="7">J6</f>
        <v>Leg press</v>
      </c>
      <c r="AA6" s="30">
        <f t="shared" ref="AA6:AA7" si="8">IF(ISNUMBER(AC6),calculateSets(AC6:AL6,Z$3,0,50%,$H6,$I6),1)</f>
        <v>1</v>
      </c>
      <c r="AB6" s="5">
        <f t="shared" ref="AB6:AB11" si="9">IF(AND(ISNUMBER(Y6),Y6&gt;0),calculateWeight(Y6,$D6,$E6,$F6,$G6,L6,Z$3),0)</f>
        <v>0</v>
      </c>
      <c r="AC6" s="30"/>
      <c r="AD6" s="30"/>
      <c r="AE6" s="23"/>
      <c r="AF6" s="23"/>
      <c r="AG6" s="23"/>
      <c r="AH6" s="23"/>
      <c r="AI6" s="23"/>
      <c r="AJ6" s="23"/>
      <c r="AK6" s="23"/>
      <c r="AL6" s="23"/>
      <c r="AM6" s="28">
        <f t="shared" ref="AM6:AM10" si="10">IF(ISNUMBER(AC6),calculateEffectiveRepetitions(AC6:AL6),0)</f>
        <v>0</v>
      </c>
      <c r="AN6" s="28">
        <f t="shared" ref="AN6:AN11" si="11">IF(AND(ISNUMBER(AC6),ISNUMBER(AB6)),calculateHVL(AC6:AL6,AB6),0)</f>
        <v>0</v>
      </c>
      <c r="AO6" s="28">
        <f t="shared" ref="AO6:AO11" si="12">IF(AND(ISNUMBER(AB6),ISNUMBER(AC6)),calculate1RM(AB6,AC6),0)</f>
        <v>0</v>
      </c>
      <c r="AP6" s="4" t="str">
        <f t="shared" ref="AP6:AP11" si="13">Z6</f>
        <v>Leg press</v>
      </c>
      <c r="AQ6" s="30">
        <f t="shared" ref="AQ6:AQ7" si="14">IF(ISNUMBER(AS6),calculateSets(AS6:BB6,AP$3,0,50%,$H6,$I6),1)</f>
        <v>1</v>
      </c>
      <c r="AR6" s="5">
        <f t="shared" ref="AR6:AR11" si="15">IF(AND(ISNUMBER(AO6),AO6&gt;0),calculateWeight(AO6,$D6,$E6,$F6,$G6,AB6,AP$3),0)</f>
        <v>0</v>
      </c>
      <c r="AS6" s="30"/>
      <c r="AT6" s="30"/>
      <c r="AU6" s="23"/>
      <c r="AV6" s="23"/>
      <c r="AW6" s="23"/>
      <c r="AX6" s="23"/>
      <c r="AY6" s="23"/>
      <c r="AZ6" s="23"/>
      <c r="BA6" s="23"/>
      <c r="BB6" s="23"/>
      <c r="BC6" s="28">
        <f t="shared" ref="BC6:BC10" si="16">IF(ISNUMBER(AS6),calculateEffectiveRepetitions(AS6:BB6),0)</f>
        <v>0</v>
      </c>
      <c r="BD6" s="28">
        <f t="shared" ref="BD6:BD11" si="17">IF(AND(ISNUMBER(AS6),ISNUMBER(AR6)),calculateHVL(AS6:BB6,AR6),0)</f>
        <v>0</v>
      </c>
      <c r="BE6" s="28">
        <f t="shared" ref="BE6:BE11" si="18">IF(AND(ISNUMBER(AR6),ISNUMBER(AS6)),calculate1RM(AR6,AS6),0)</f>
        <v>0</v>
      </c>
      <c r="BF6" s="4" t="str">
        <f t="shared" ref="BF6:BF11" si="19">AP6</f>
        <v>Leg press</v>
      </c>
      <c r="BG6" s="30">
        <f t="shared" ref="BG6:BG7" si="20">IF(ISNUMBER(BI6),calculateSets(BI6:BR6,BF$3,0,50%,$H6,$I6),1)</f>
        <v>1</v>
      </c>
      <c r="BH6" s="5">
        <f t="shared" ref="BH6:BH11" si="21">IF(AND(ISNUMBER(BE6),BE6&gt;0),calculateWeight(BE6,$D6,$E6,$F6,$G6,AR6,BF$3),0)</f>
        <v>0</v>
      </c>
      <c r="BI6" s="30"/>
      <c r="BJ6" s="30"/>
      <c r="BK6" s="23"/>
      <c r="BL6" s="23"/>
      <c r="BM6" s="23"/>
      <c r="BN6" s="23"/>
      <c r="BO6" s="23"/>
      <c r="BP6" s="23"/>
      <c r="BQ6" s="23"/>
      <c r="BR6" s="23"/>
      <c r="BS6" s="28">
        <f t="shared" ref="BS6:BS10" si="22">IF(ISNUMBER(BI6),calculateEffectiveRepetitions(BI6:BR6),0)</f>
        <v>0</v>
      </c>
      <c r="BT6" s="28">
        <f t="shared" ref="BT6:BT11" si="23">IF(AND(ISNUMBER(BI6),ISNUMBER(BH6)),calculateHVL(BI6:BR6,BH6),0)</f>
        <v>0</v>
      </c>
      <c r="BU6" s="28">
        <f t="shared" ref="BU6:BU11" si="24">IF(AND(ISNUMBER(BH6),ISNUMBER(BI6)),calculate1RM(BH6,BI6),0)</f>
        <v>0</v>
      </c>
      <c r="BV6" s="21"/>
    </row>
    <row r="7">
      <c r="A7" s="13"/>
      <c r="B7" s="27" t="s">
        <v>15</v>
      </c>
      <c r="C7" s="28">
        <v>50.0</v>
      </c>
      <c r="D7" s="29">
        <v>0.83</v>
      </c>
      <c r="E7" s="29">
        <v>0.89</v>
      </c>
      <c r="F7" s="28">
        <v>100.0</v>
      </c>
      <c r="G7" s="28">
        <v>10.0</v>
      </c>
      <c r="H7" s="28" t="s">
        <v>14</v>
      </c>
      <c r="I7" s="23"/>
      <c r="J7" s="4" t="str">
        <f t="shared" si="1"/>
        <v>Panca piana</v>
      </c>
      <c r="K7" s="30">
        <f t="shared" si="2"/>
        <v>2</v>
      </c>
      <c r="L7" s="5">
        <f t="shared" si="3"/>
        <v>50</v>
      </c>
      <c r="M7" s="30">
        <v>8.0</v>
      </c>
      <c r="N7" s="30">
        <v>6.0</v>
      </c>
      <c r="O7" s="23"/>
      <c r="P7" s="23"/>
      <c r="Q7" s="23"/>
      <c r="R7" s="23"/>
      <c r="S7" s="23"/>
      <c r="T7" s="23"/>
      <c r="U7" s="23"/>
      <c r="V7" s="23"/>
      <c r="W7" s="28">
        <f t="shared" si="4"/>
        <v>11.06</v>
      </c>
      <c r="X7" s="28">
        <f t="shared" si="5"/>
        <v>664.8186874</v>
      </c>
      <c r="Y7" s="28">
        <f t="shared" si="6"/>
        <v>62.06896552</v>
      </c>
      <c r="Z7" s="4" t="str">
        <f t="shared" si="7"/>
        <v>Panca piana</v>
      </c>
      <c r="AA7" s="30">
        <f t="shared" si="8"/>
        <v>1</v>
      </c>
      <c r="AB7" s="5">
        <f t="shared" si="9"/>
        <v>60</v>
      </c>
      <c r="AC7" s="30"/>
      <c r="AD7" s="30"/>
      <c r="AE7" s="23"/>
      <c r="AF7" s="23"/>
      <c r="AG7" s="23"/>
      <c r="AH7" s="23"/>
      <c r="AI7" s="23"/>
      <c r="AJ7" s="23"/>
      <c r="AK7" s="23"/>
      <c r="AL7" s="23"/>
      <c r="AM7" s="28">
        <f t="shared" si="10"/>
        <v>0</v>
      </c>
      <c r="AN7" s="28">
        <f t="shared" si="11"/>
        <v>0</v>
      </c>
      <c r="AO7" s="28">
        <f t="shared" si="12"/>
        <v>0</v>
      </c>
      <c r="AP7" s="4" t="str">
        <f t="shared" si="13"/>
        <v>Panca piana</v>
      </c>
      <c r="AQ7" s="30">
        <f t="shared" si="14"/>
        <v>1</v>
      </c>
      <c r="AR7" s="5">
        <f t="shared" si="15"/>
        <v>0</v>
      </c>
      <c r="AS7" s="30"/>
      <c r="AT7" s="30"/>
      <c r="AU7" s="23"/>
      <c r="AV7" s="23"/>
      <c r="AW7" s="23"/>
      <c r="AX7" s="23"/>
      <c r="AY7" s="23"/>
      <c r="AZ7" s="23"/>
      <c r="BA7" s="23"/>
      <c r="BB7" s="23"/>
      <c r="BC7" s="28">
        <f t="shared" si="16"/>
        <v>0</v>
      </c>
      <c r="BD7" s="28">
        <f t="shared" si="17"/>
        <v>0</v>
      </c>
      <c r="BE7" s="28">
        <f t="shared" si="18"/>
        <v>0</v>
      </c>
      <c r="BF7" s="4" t="str">
        <f t="shared" si="19"/>
        <v>Panca piana</v>
      </c>
      <c r="BG7" s="30">
        <f t="shared" si="20"/>
        <v>1</v>
      </c>
      <c r="BH7" s="5">
        <f t="shared" si="21"/>
        <v>0</v>
      </c>
      <c r="BI7" s="30"/>
      <c r="BJ7" s="30"/>
      <c r="BK7" s="23"/>
      <c r="BL7" s="23"/>
      <c r="BM7" s="23"/>
      <c r="BN7" s="23"/>
      <c r="BO7" s="23"/>
      <c r="BP7" s="23"/>
      <c r="BQ7" s="23"/>
      <c r="BR7" s="23"/>
      <c r="BS7" s="28">
        <f t="shared" si="22"/>
        <v>0</v>
      </c>
      <c r="BT7" s="28">
        <f t="shared" si="23"/>
        <v>0</v>
      </c>
      <c r="BU7" s="28">
        <f t="shared" si="24"/>
        <v>0</v>
      </c>
      <c r="BV7" s="26"/>
    </row>
    <row r="8">
      <c r="A8" s="13"/>
      <c r="B8" s="27" t="s">
        <v>16</v>
      </c>
      <c r="C8" s="28">
        <v>20.0</v>
      </c>
      <c r="D8" s="29">
        <v>0.83</v>
      </c>
      <c r="E8" s="29">
        <v>0.89</v>
      </c>
      <c r="F8" s="28">
        <v>100.0</v>
      </c>
      <c r="G8" s="28">
        <v>2.0</v>
      </c>
      <c r="H8" s="28" t="s">
        <v>14</v>
      </c>
      <c r="I8" s="23"/>
      <c r="J8" s="4" t="str">
        <f t="shared" si="1"/>
        <v>Rematore [manubri]</v>
      </c>
      <c r="K8" s="30">
        <f t="shared" ref="K8:K9" si="25">IF(ISNUMBER(M8),calculateSets(M8:V8,J$3,W6,100%,$H8,$I8),1)</f>
        <v>1</v>
      </c>
      <c r="L8" s="5">
        <f t="shared" si="3"/>
        <v>18</v>
      </c>
      <c r="M8" s="30"/>
      <c r="N8" s="30"/>
      <c r="O8" s="23"/>
      <c r="P8" s="23"/>
      <c r="Q8" s="23"/>
      <c r="R8" s="23"/>
      <c r="S8" s="23"/>
      <c r="T8" s="23"/>
      <c r="U8" s="23"/>
      <c r="V8" s="23"/>
      <c r="W8" s="28">
        <f t="shared" si="4"/>
        <v>0</v>
      </c>
      <c r="X8" s="28">
        <f t="shared" si="5"/>
        <v>0</v>
      </c>
      <c r="Y8" s="28">
        <f t="shared" si="6"/>
        <v>0</v>
      </c>
      <c r="Z8" s="4" t="str">
        <f t="shared" si="7"/>
        <v>Rematore [manubri]</v>
      </c>
      <c r="AA8" s="30">
        <f t="shared" ref="AA8:AA9" si="26">IF(ISNUMBER(AC8),calculateSets(AC8:AL8,Z$3,AM6,100%,$H8,$I8),1)</f>
        <v>1</v>
      </c>
      <c r="AB8" s="5">
        <f t="shared" si="9"/>
        <v>0</v>
      </c>
      <c r="AC8" s="30"/>
      <c r="AD8" s="30"/>
      <c r="AE8" s="23"/>
      <c r="AF8" s="23"/>
      <c r="AG8" s="23"/>
      <c r="AH8" s="23"/>
      <c r="AI8" s="23"/>
      <c r="AJ8" s="23"/>
      <c r="AK8" s="23"/>
      <c r="AL8" s="23"/>
      <c r="AM8" s="28">
        <f t="shared" si="10"/>
        <v>0</v>
      </c>
      <c r="AN8" s="28">
        <f t="shared" si="11"/>
        <v>0</v>
      </c>
      <c r="AO8" s="28">
        <f t="shared" si="12"/>
        <v>0</v>
      </c>
      <c r="AP8" s="4" t="str">
        <f t="shared" si="13"/>
        <v>Rematore [manubri]</v>
      </c>
      <c r="AQ8" s="30">
        <f t="shared" ref="AQ8:AQ9" si="27">IF(ISNUMBER(AS8),calculateSets(AS8:BB8,AP$3,BC6,100%,$H8,$I8),1)</f>
        <v>1</v>
      </c>
      <c r="AR8" s="5">
        <f t="shared" si="15"/>
        <v>0</v>
      </c>
      <c r="AS8" s="30"/>
      <c r="AT8" s="30"/>
      <c r="AU8" s="23"/>
      <c r="AV8" s="23"/>
      <c r="AW8" s="23"/>
      <c r="AX8" s="23"/>
      <c r="AY8" s="23"/>
      <c r="AZ8" s="23"/>
      <c r="BA8" s="23"/>
      <c r="BB8" s="23"/>
      <c r="BC8" s="28">
        <f t="shared" si="16"/>
        <v>0</v>
      </c>
      <c r="BD8" s="28">
        <f t="shared" si="17"/>
        <v>0</v>
      </c>
      <c r="BE8" s="28">
        <f t="shared" si="18"/>
        <v>0</v>
      </c>
      <c r="BF8" s="4" t="str">
        <f t="shared" si="19"/>
        <v>Rematore [manubri]</v>
      </c>
      <c r="BG8" s="30">
        <f t="shared" ref="BG8:BG9" si="28">IF(ISNUMBER(BI8),calculateSets(BI8:BR8,BF$3,BS6,100%,$H8,$I8),1)</f>
        <v>1</v>
      </c>
      <c r="BH8" s="5">
        <f t="shared" si="21"/>
        <v>0</v>
      </c>
      <c r="BI8" s="30"/>
      <c r="BJ8" s="30"/>
      <c r="BK8" s="23"/>
      <c r="BL8" s="23"/>
      <c r="BM8" s="23"/>
      <c r="BN8" s="23"/>
      <c r="BO8" s="23"/>
      <c r="BP8" s="23"/>
      <c r="BQ8" s="23"/>
      <c r="BR8" s="23"/>
      <c r="BS8" s="28">
        <f t="shared" si="22"/>
        <v>0</v>
      </c>
      <c r="BT8" s="28">
        <f t="shared" si="23"/>
        <v>0</v>
      </c>
      <c r="BU8" s="28">
        <f t="shared" si="24"/>
        <v>0</v>
      </c>
      <c r="BV8" s="26"/>
    </row>
    <row r="9">
      <c r="A9" s="13"/>
      <c r="B9" s="27" t="s">
        <v>17</v>
      </c>
      <c r="C9" s="28">
        <v>100.0</v>
      </c>
      <c r="D9" s="29">
        <v>0.83</v>
      </c>
      <c r="E9" s="29">
        <v>0.89</v>
      </c>
      <c r="F9" s="28">
        <v>100.0</v>
      </c>
      <c r="G9" s="28">
        <v>2.5</v>
      </c>
      <c r="H9" s="28" t="s">
        <v>14</v>
      </c>
      <c r="I9" s="23"/>
      <c r="J9" s="4" t="str">
        <f t="shared" si="1"/>
        <v>Shoulder press [manubri]</v>
      </c>
      <c r="K9" s="30">
        <f t="shared" si="25"/>
        <v>1</v>
      </c>
      <c r="L9" s="5">
        <f t="shared" si="3"/>
        <v>85</v>
      </c>
      <c r="M9" s="30"/>
      <c r="N9" s="30"/>
      <c r="O9" s="23"/>
      <c r="P9" s="23"/>
      <c r="Q9" s="23"/>
      <c r="R9" s="23"/>
      <c r="S9" s="23"/>
      <c r="T9" s="23"/>
      <c r="U9" s="23"/>
      <c r="V9" s="23"/>
      <c r="W9" s="28">
        <f t="shared" si="4"/>
        <v>0</v>
      </c>
      <c r="X9" s="28">
        <f t="shared" si="5"/>
        <v>0</v>
      </c>
      <c r="Y9" s="28">
        <f t="shared" si="6"/>
        <v>0</v>
      </c>
      <c r="Z9" s="4" t="str">
        <f t="shared" si="7"/>
        <v>Shoulder press [manubri]</v>
      </c>
      <c r="AA9" s="30">
        <f t="shared" si="26"/>
        <v>1</v>
      </c>
      <c r="AB9" s="5">
        <f t="shared" si="9"/>
        <v>0</v>
      </c>
      <c r="AC9" s="30"/>
      <c r="AD9" s="30"/>
      <c r="AE9" s="23"/>
      <c r="AF9" s="23"/>
      <c r="AG9" s="23"/>
      <c r="AH9" s="23"/>
      <c r="AI9" s="23"/>
      <c r="AJ9" s="23"/>
      <c r="AK9" s="23"/>
      <c r="AL9" s="23"/>
      <c r="AM9" s="28">
        <f t="shared" si="10"/>
        <v>0</v>
      </c>
      <c r="AN9" s="28">
        <f t="shared" si="11"/>
        <v>0</v>
      </c>
      <c r="AO9" s="28">
        <f t="shared" si="12"/>
        <v>0</v>
      </c>
      <c r="AP9" s="4" t="str">
        <f t="shared" si="13"/>
        <v>Shoulder press [manubri]</v>
      </c>
      <c r="AQ9" s="30">
        <f t="shared" si="27"/>
        <v>1</v>
      </c>
      <c r="AR9" s="5">
        <f t="shared" si="15"/>
        <v>0</v>
      </c>
      <c r="AS9" s="30"/>
      <c r="AT9" s="30"/>
      <c r="AU9" s="23"/>
      <c r="AV9" s="23"/>
      <c r="AW9" s="23"/>
      <c r="AX9" s="23"/>
      <c r="AY9" s="23"/>
      <c r="AZ9" s="23"/>
      <c r="BA9" s="23"/>
      <c r="BB9" s="23"/>
      <c r="BC9" s="28">
        <f t="shared" si="16"/>
        <v>0</v>
      </c>
      <c r="BD9" s="28">
        <f t="shared" si="17"/>
        <v>0</v>
      </c>
      <c r="BE9" s="28">
        <f t="shared" si="18"/>
        <v>0</v>
      </c>
      <c r="BF9" s="4" t="str">
        <f t="shared" si="19"/>
        <v>Shoulder press [manubri]</v>
      </c>
      <c r="BG9" s="30">
        <f t="shared" si="28"/>
        <v>1</v>
      </c>
      <c r="BH9" s="5">
        <f t="shared" si="21"/>
        <v>0</v>
      </c>
      <c r="BI9" s="30"/>
      <c r="BJ9" s="30"/>
      <c r="BK9" s="23"/>
      <c r="BL9" s="23"/>
      <c r="BM9" s="23"/>
      <c r="BN9" s="23"/>
      <c r="BO9" s="23"/>
      <c r="BP9" s="23"/>
      <c r="BQ9" s="23"/>
      <c r="BR9" s="23"/>
      <c r="BS9" s="28">
        <f t="shared" si="22"/>
        <v>0</v>
      </c>
      <c r="BT9" s="28">
        <f t="shared" si="23"/>
        <v>0</v>
      </c>
      <c r="BU9" s="28">
        <f t="shared" si="24"/>
        <v>0</v>
      </c>
      <c r="BV9" s="26"/>
    </row>
    <row r="10">
      <c r="A10" s="13"/>
      <c r="B10" s="27" t="s">
        <v>18</v>
      </c>
      <c r="C10" s="28">
        <v>80.0</v>
      </c>
      <c r="D10" s="29">
        <v>0.83</v>
      </c>
      <c r="E10" s="29">
        <v>0.89</v>
      </c>
      <c r="F10" s="28">
        <v>100.0</v>
      </c>
      <c r="G10" s="28">
        <v>2.0</v>
      </c>
      <c r="H10" s="28" t="s">
        <v>14</v>
      </c>
      <c r="I10" s="23"/>
      <c r="J10" s="4" t="str">
        <f t="shared" si="1"/>
        <v>Curl [manubri]</v>
      </c>
      <c r="K10" s="30">
        <f>IF(ISNUMBER(M10),calculateSets(M10:V10,J$3,0,50%,$H10,$I10),1)</f>
        <v>1</v>
      </c>
      <c r="L10" s="5">
        <f t="shared" si="3"/>
        <v>68</v>
      </c>
      <c r="M10" s="30"/>
      <c r="N10" s="30"/>
      <c r="O10" s="24"/>
      <c r="P10" s="23"/>
      <c r="Q10" s="23"/>
      <c r="R10" s="23"/>
      <c r="S10" s="23"/>
      <c r="T10" s="23"/>
      <c r="U10" s="23"/>
      <c r="V10" s="23"/>
      <c r="W10" s="28">
        <f t="shared" si="4"/>
        <v>0</v>
      </c>
      <c r="X10" s="28">
        <f t="shared" si="5"/>
        <v>0</v>
      </c>
      <c r="Y10" s="28">
        <f t="shared" si="6"/>
        <v>0</v>
      </c>
      <c r="Z10" s="4" t="str">
        <f t="shared" si="7"/>
        <v>Curl [manubri]</v>
      </c>
      <c r="AA10" s="30">
        <f>IF(ISNUMBER(AC10),calculateSets(AC10:AL10,Z$3,0,50%,$H10,$I10),1)</f>
        <v>1</v>
      </c>
      <c r="AB10" s="5">
        <f t="shared" si="9"/>
        <v>0</v>
      </c>
      <c r="AC10" s="30"/>
      <c r="AD10" s="30"/>
      <c r="AE10" s="23"/>
      <c r="AF10" s="23"/>
      <c r="AG10" s="23"/>
      <c r="AH10" s="23"/>
      <c r="AI10" s="23"/>
      <c r="AJ10" s="23"/>
      <c r="AK10" s="23"/>
      <c r="AL10" s="23"/>
      <c r="AM10" s="28">
        <f t="shared" si="10"/>
        <v>0</v>
      </c>
      <c r="AN10" s="28">
        <f t="shared" si="11"/>
        <v>0</v>
      </c>
      <c r="AO10" s="28">
        <f t="shared" si="12"/>
        <v>0</v>
      </c>
      <c r="AP10" s="4" t="str">
        <f t="shared" si="13"/>
        <v>Curl [manubri]</v>
      </c>
      <c r="AQ10" s="30">
        <f>IF(ISNUMBER(AS10),calculateSets(AS10:BB10,AP$3,0,50%,$H10,$I10),1)</f>
        <v>1</v>
      </c>
      <c r="AR10" s="5">
        <f t="shared" si="15"/>
        <v>0</v>
      </c>
      <c r="AS10" s="30"/>
      <c r="AT10" s="30"/>
      <c r="AU10" s="23"/>
      <c r="AV10" s="23"/>
      <c r="AW10" s="23"/>
      <c r="AX10" s="23"/>
      <c r="AY10" s="23"/>
      <c r="AZ10" s="23"/>
      <c r="BA10" s="23"/>
      <c r="BB10" s="23"/>
      <c r="BC10" s="28">
        <f t="shared" si="16"/>
        <v>0</v>
      </c>
      <c r="BD10" s="28">
        <f t="shared" si="17"/>
        <v>0</v>
      </c>
      <c r="BE10" s="28">
        <f t="shared" si="18"/>
        <v>0</v>
      </c>
      <c r="BF10" s="4" t="str">
        <f t="shared" si="19"/>
        <v>Curl [manubri]</v>
      </c>
      <c r="BG10" s="30">
        <f>IF(ISNUMBER(BI10),calculateSets(BI10:BR10,BF$3,0,50%,$H10,$I10),1)</f>
        <v>1</v>
      </c>
      <c r="BH10" s="5">
        <f t="shared" si="21"/>
        <v>0</v>
      </c>
      <c r="BI10" s="30"/>
      <c r="BJ10" s="30"/>
      <c r="BK10" s="23"/>
      <c r="BL10" s="23"/>
      <c r="BM10" s="23"/>
      <c r="BN10" s="23"/>
      <c r="BO10" s="23"/>
      <c r="BP10" s="23"/>
      <c r="BQ10" s="23"/>
      <c r="BR10" s="23"/>
      <c r="BS10" s="28">
        <f t="shared" si="22"/>
        <v>0</v>
      </c>
      <c r="BT10" s="28">
        <f t="shared" si="23"/>
        <v>0</v>
      </c>
      <c r="BU10" s="28">
        <f t="shared" si="24"/>
        <v>0</v>
      </c>
      <c r="BV10" s="21"/>
    </row>
    <row r="11">
      <c r="A11" s="31"/>
      <c r="B11" s="27" t="s">
        <v>19</v>
      </c>
      <c r="C11" s="27">
        <v>120.0</v>
      </c>
      <c r="D11" s="29"/>
      <c r="E11" s="29"/>
      <c r="F11" s="28"/>
      <c r="G11" s="28"/>
      <c r="H11" s="28" t="s">
        <v>14</v>
      </c>
      <c r="I11" s="23">
        <v>6.0</v>
      </c>
      <c r="J11" s="4" t="str">
        <f t="shared" si="1"/>
        <v>Plank</v>
      </c>
      <c r="K11" s="23">
        <f>MIN(
  IF(
    SUM(OFFSET(K11, 0, 2, 1, 10)) &lt; $C11*3,
    COUNTA(OFFSET(K11, 0, 2, 1, 10)) + 1,
    COUNTA(OFFSET(K11, 0, 2, 1, 10))
  ),
  $I11
)</f>
        <v>1</v>
      </c>
      <c r="L11" s="24">
        <f t="shared" si="3"/>
        <v>0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>
        <f>SUM(M11:V11)</f>
        <v>0</v>
      </c>
      <c r="X11" s="23">
        <f t="shared" si="5"/>
        <v>0</v>
      </c>
      <c r="Y11" s="23">
        <f t="shared" si="6"/>
        <v>0</v>
      </c>
      <c r="Z11" s="4" t="str">
        <f t="shared" si="7"/>
        <v>Plank</v>
      </c>
      <c r="AA11" s="23">
        <f>MIN(
  IF(
    SUM(OFFSET(AA11, 0, 2, 1, 10)) &lt; $C11*3,
    COUNTA(OFFSET(AA11, 0, 2, 1, 10)) + 1,
    COUNTA(OFFSET(AA11, 0, 2, 1, 10))
  ),
  $I11
)</f>
        <v>1</v>
      </c>
      <c r="AB11" s="5">
        <f t="shared" si="9"/>
        <v>0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8">
        <f>SUM(AC11:AL11)</f>
        <v>0</v>
      </c>
      <c r="AN11" s="28">
        <f t="shared" si="11"/>
        <v>0</v>
      </c>
      <c r="AO11" s="28">
        <f t="shared" si="12"/>
        <v>0</v>
      </c>
      <c r="AP11" s="4" t="str">
        <f t="shared" si="13"/>
        <v>Plank</v>
      </c>
      <c r="AQ11" s="23">
        <f>MIN(
  IF(
    SUM(OFFSET(AQ11, 0, 2, 1, 10)) &lt; $C11*3,
    COUNTA(OFFSET(AQ11, 0, 2, 1, 10)) + 1,
    COUNTA(OFFSET(AQ11, 0, 2, 1, 10))
  ),
  $I11
)</f>
        <v>1</v>
      </c>
      <c r="AR11" s="5">
        <f t="shared" si="15"/>
        <v>0</v>
      </c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8">
        <f>sum(AS11:BB11)</f>
        <v>0</v>
      </c>
      <c r="BD11" s="28">
        <f t="shared" si="17"/>
        <v>0</v>
      </c>
      <c r="BE11" s="28">
        <f t="shared" si="18"/>
        <v>0</v>
      </c>
      <c r="BF11" s="4" t="str">
        <f t="shared" si="19"/>
        <v>Plank</v>
      </c>
      <c r="BG11" s="23">
        <f>MIN(
  IF(
    SUM(OFFSET(BG11, 0, 2, 1, 10)) &lt; $C11*3,
    COUNTA(OFFSET(BG11, 0, 2, 1, 10)) + 1,
    COUNTA(OFFSET(BG11, 0, 2, 1, 10))
  ),
  $I11
)</f>
        <v>1</v>
      </c>
      <c r="BH11" s="5">
        <f t="shared" si="21"/>
        <v>0</v>
      </c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8">
        <f>SUM(BI11:BR11)</f>
        <v>0</v>
      </c>
      <c r="BT11" s="28">
        <f t="shared" si="23"/>
        <v>0</v>
      </c>
      <c r="BU11" s="28">
        <f t="shared" si="24"/>
        <v>0</v>
      </c>
      <c r="BV11" s="26"/>
    </row>
    <row r="12">
      <c r="A12" s="13"/>
      <c r="B12" s="32"/>
      <c r="J12" s="15" t="str">
        <f>J3</f>
        <v>Week 1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8"/>
      <c r="Z12" s="15" t="str">
        <f>Z3</f>
        <v>Week 2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8"/>
      <c r="AP12" s="15" t="str">
        <f>AP3</f>
        <v>Week 3</v>
      </c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8"/>
      <c r="BF12" s="15" t="str">
        <f>BF3</f>
        <v>Week 4</v>
      </c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8"/>
      <c r="BV12" s="26"/>
    </row>
    <row r="13">
      <c r="A13" s="13"/>
      <c r="J13" s="18" t="s">
        <v>1</v>
      </c>
      <c r="K13" s="18" t="s">
        <v>2</v>
      </c>
      <c r="L13" s="18" t="s">
        <v>3</v>
      </c>
      <c r="M13" s="19" t="s">
        <v>4</v>
      </c>
      <c r="N13" s="7"/>
      <c r="O13" s="7"/>
      <c r="P13" s="7"/>
      <c r="Q13" s="7"/>
      <c r="R13" s="7"/>
      <c r="S13" s="7"/>
      <c r="T13" s="7"/>
      <c r="U13" s="7"/>
      <c r="V13" s="8"/>
      <c r="W13" s="20" t="s">
        <v>5</v>
      </c>
      <c r="X13" s="20" t="s">
        <v>6</v>
      </c>
      <c r="Y13" s="20" t="s">
        <v>7</v>
      </c>
      <c r="Z13" s="18" t="s">
        <v>1</v>
      </c>
      <c r="AA13" s="18" t="s">
        <v>2</v>
      </c>
      <c r="AB13" s="18" t="s">
        <v>3</v>
      </c>
      <c r="AC13" s="19" t="s">
        <v>4</v>
      </c>
      <c r="AD13" s="7"/>
      <c r="AE13" s="7"/>
      <c r="AF13" s="7"/>
      <c r="AG13" s="7"/>
      <c r="AH13" s="7"/>
      <c r="AI13" s="7"/>
      <c r="AJ13" s="7"/>
      <c r="AK13" s="7"/>
      <c r="AL13" s="8"/>
      <c r="AM13" s="20" t="s">
        <v>5</v>
      </c>
      <c r="AN13" s="20" t="s">
        <v>6</v>
      </c>
      <c r="AO13" s="20" t="s">
        <v>7</v>
      </c>
      <c r="AP13" s="18" t="s">
        <v>1</v>
      </c>
      <c r="AQ13" s="18" t="s">
        <v>2</v>
      </c>
      <c r="AR13" s="18" t="s">
        <v>3</v>
      </c>
      <c r="AS13" s="19" t="s">
        <v>4</v>
      </c>
      <c r="AT13" s="7"/>
      <c r="AU13" s="7"/>
      <c r="AV13" s="7"/>
      <c r="AW13" s="7"/>
      <c r="AX13" s="7"/>
      <c r="AY13" s="7"/>
      <c r="AZ13" s="7"/>
      <c r="BA13" s="7"/>
      <c r="BB13" s="8"/>
      <c r="BC13" s="20" t="s">
        <v>5</v>
      </c>
      <c r="BD13" s="20" t="s">
        <v>6</v>
      </c>
      <c r="BE13" s="20" t="s">
        <v>7</v>
      </c>
      <c r="BF13" s="18" t="s">
        <v>1</v>
      </c>
      <c r="BG13" s="18" t="s">
        <v>2</v>
      </c>
      <c r="BH13" s="18" t="s">
        <v>3</v>
      </c>
      <c r="BI13" s="19" t="s">
        <v>4</v>
      </c>
      <c r="BJ13" s="7"/>
      <c r="BK13" s="7"/>
      <c r="BL13" s="7"/>
      <c r="BM13" s="7"/>
      <c r="BN13" s="7"/>
      <c r="BO13" s="7"/>
      <c r="BP13" s="7"/>
      <c r="BQ13" s="7"/>
      <c r="BR13" s="8"/>
      <c r="BS13" s="20" t="s">
        <v>5</v>
      </c>
      <c r="BT13" s="20" t="s">
        <v>6</v>
      </c>
      <c r="BU13" s="20" t="s">
        <v>7</v>
      </c>
      <c r="BV13" s="26"/>
    </row>
    <row r="14">
      <c r="A14" s="13"/>
      <c r="B14" s="2" t="s">
        <v>1</v>
      </c>
      <c r="C14" s="2" t="s">
        <v>7</v>
      </c>
      <c r="D14" s="15" t="s">
        <v>8</v>
      </c>
      <c r="E14" s="8"/>
      <c r="F14" s="2" t="s">
        <v>9</v>
      </c>
      <c r="G14" s="2" t="s">
        <v>10</v>
      </c>
      <c r="H14" s="2" t="s">
        <v>11</v>
      </c>
      <c r="I14" s="22" t="s">
        <v>12</v>
      </c>
      <c r="J14" s="4"/>
      <c r="K14" s="23"/>
      <c r="L14" s="24"/>
      <c r="M14" s="25"/>
      <c r="N14" s="7"/>
      <c r="O14" s="7"/>
      <c r="P14" s="7"/>
      <c r="Q14" s="7"/>
      <c r="R14" s="7"/>
      <c r="S14" s="7"/>
      <c r="T14" s="7"/>
      <c r="U14" s="7"/>
      <c r="V14" s="8"/>
      <c r="W14" s="24"/>
      <c r="X14" s="24"/>
      <c r="Y14" s="24"/>
      <c r="Z14" s="4"/>
      <c r="AA14" s="23"/>
      <c r="AB14" s="24"/>
      <c r="AC14" s="25"/>
      <c r="AD14" s="7"/>
      <c r="AE14" s="7"/>
      <c r="AF14" s="7"/>
      <c r="AG14" s="7"/>
      <c r="AH14" s="7"/>
      <c r="AI14" s="7"/>
      <c r="AJ14" s="7"/>
      <c r="AK14" s="7"/>
      <c r="AL14" s="8"/>
      <c r="AM14" s="24"/>
      <c r="AN14" s="24"/>
      <c r="AO14" s="24"/>
      <c r="AP14" s="4"/>
      <c r="AQ14" s="23"/>
      <c r="AR14" s="24"/>
      <c r="AS14" s="25"/>
      <c r="AT14" s="7"/>
      <c r="AU14" s="7"/>
      <c r="AV14" s="7"/>
      <c r="AW14" s="7"/>
      <c r="AX14" s="7"/>
      <c r="AY14" s="7"/>
      <c r="AZ14" s="7"/>
      <c r="BA14" s="7"/>
      <c r="BB14" s="8"/>
      <c r="BC14" s="24"/>
      <c r="BD14" s="24"/>
      <c r="BE14" s="24"/>
      <c r="BF14" s="4"/>
      <c r="BG14" s="23"/>
      <c r="BH14" s="24"/>
      <c r="BI14" s="25"/>
      <c r="BJ14" s="7"/>
      <c r="BK14" s="7"/>
      <c r="BL14" s="7"/>
      <c r="BM14" s="7"/>
      <c r="BN14" s="7"/>
      <c r="BO14" s="7"/>
      <c r="BP14" s="7"/>
      <c r="BQ14" s="7"/>
      <c r="BR14" s="8"/>
      <c r="BS14" s="24"/>
      <c r="BT14" s="24"/>
      <c r="BU14" s="24"/>
      <c r="BV14" s="26"/>
    </row>
    <row r="15">
      <c r="A15" s="13"/>
      <c r="B15" s="27" t="s">
        <v>20</v>
      </c>
      <c r="C15" s="28">
        <v>100.0</v>
      </c>
      <c r="D15" s="29">
        <v>0.83</v>
      </c>
      <c r="E15" s="29">
        <v>0.89</v>
      </c>
      <c r="F15" s="28">
        <v>100.0</v>
      </c>
      <c r="G15" s="28">
        <v>0.5</v>
      </c>
      <c r="H15" s="28" t="s">
        <v>14</v>
      </c>
      <c r="I15" s="23"/>
      <c r="J15" s="4" t="str">
        <f t="shared" ref="J15:J20" si="29">$B15</f>
        <v>Leg curl </v>
      </c>
      <c r="K15" s="23">
        <f t="shared" ref="K15:K16" si="30">IF(ISNUMBER(M15),calculateSets(M15:V15,J$3,W10,100%,$H15,$I15),1)</f>
        <v>1</v>
      </c>
      <c r="L15" s="5">
        <f t="shared" ref="L15:L20" si="31">IF(AND(ISNUMBER(C15),C15&gt;0),calculateWeight(C15,$D15,$E15,$F15,$G15,0,J$3),0)</f>
        <v>83</v>
      </c>
      <c r="M15" s="24"/>
      <c r="N15" s="24"/>
      <c r="O15" s="23"/>
      <c r="P15" s="23"/>
      <c r="Q15" s="23"/>
      <c r="R15" s="23"/>
      <c r="S15" s="23"/>
      <c r="T15" s="23"/>
      <c r="U15" s="23"/>
      <c r="V15" s="23"/>
      <c r="W15" s="28">
        <f t="shared" ref="W15:W19" si="32">IF(ISNUMBER(M15),calculateEffectiveRepetitions(M15:V15),0)</f>
        <v>0</v>
      </c>
      <c r="X15" s="28">
        <f t="shared" ref="X15:X20" si="33">IF(AND(ISNUMBER(M15),ISNUMBER(L15)),calculateHVL(M15:V15,L15),0)</f>
        <v>0</v>
      </c>
      <c r="Y15" s="28">
        <f t="shared" ref="Y15:Y20" si="34">IF(AND(ISNUMBER(L15),ISNUMBER(M15)),calculate1RM(L15,M15),0)</f>
        <v>0</v>
      </c>
      <c r="Z15" s="4" t="str">
        <f t="shared" ref="Z15:Z20" si="35">J15</f>
        <v>Leg curl </v>
      </c>
      <c r="AA15" s="23">
        <f t="shared" ref="AA15:AA16" si="36">IF(ISNUMBER(AC15),calculateSets(AC15:AL15,Z$3,AM10,100%,$H15,$I15),1)</f>
        <v>1</v>
      </c>
      <c r="AB15" s="5">
        <f t="shared" ref="AB15:AB20" si="37">IF(AND(ISNUMBER(Y15),Y15&gt;0),calculateWeight(Y15,$D15,$E15,$F15,$G15,L15,Z$3),0)</f>
        <v>0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8">
        <f t="shared" ref="AM15:AM19" si="38">IF(ISNUMBER(AC15),calculateEffectiveRepetitions(AC15:AL15),0)</f>
        <v>0</v>
      </c>
      <c r="AN15" s="28">
        <f t="shared" ref="AN15:AN20" si="39">IF(AND(ISNUMBER(AC15),ISNUMBER(AB15)),calculateHVL(AC15:AL15,AB15),0)</f>
        <v>0</v>
      </c>
      <c r="AO15" s="28">
        <f t="shared" ref="AO15:AO20" si="40">IF(AND(ISNUMBER(AB15),ISNUMBER(AC15)),calculate1RM(AB15,AC15),0)</f>
        <v>0</v>
      </c>
      <c r="AP15" s="4" t="str">
        <f t="shared" ref="AP15:AP20" si="41">Z15</f>
        <v>Leg curl </v>
      </c>
      <c r="AQ15" s="23">
        <f t="shared" ref="AQ15:AQ16" si="42">IF(ISNUMBER(AS15),calculateSets(AS15:BB15,AP$3,BC10,100%,$H15,$I15),1)</f>
        <v>1</v>
      </c>
      <c r="AR15" s="5">
        <f t="shared" ref="AR15:AR20" si="43">IF(AND(ISNUMBER(AO15),AO15&gt;0),calculateWeight(AO15,$D15,$E15,$F15,$G15,AB15,AP$3),0)</f>
        <v>0</v>
      </c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8">
        <f t="shared" ref="BC15:BC19" si="44">IF(ISNUMBER(AS15),calculateEffectiveRepetitions(AS15:BB15),0)</f>
        <v>0</v>
      </c>
      <c r="BD15" s="28">
        <f t="shared" ref="BD15:BD20" si="45">IF(AND(ISNUMBER(AS15),ISNUMBER(AR15)),calculateHVL(AS15:BB15,AR15),0)</f>
        <v>0</v>
      </c>
      <c r="BE15" s="28">
        <f t="shared" ref="BE15:BE20" si="46">IF(AND(ISNUMBER(AR15),ISNUMBER(AS15)),calculate1RM(AR15,AS15),0)</f>
        <v>0</v>
      </c>
      <c r="BF15" s="4" t="str">
        <f t="shared" ref="BF15:BF20" si="47">AP15</f>
        <v>Leg curl </v>
      </c>
      <c r="BG15" s="23">
        <f t="shared" ref="BG15:BG16" si="48">IF(ISNUMBER(BI15),calculateSets(BI15:BR15,BF$3,BS10,100%,$H15,$I15),1)</f>
        <v>1</v>
      </c>
      <c r="BH15" s="5">
        <f t="shared" ref="BH15:BH20" si="49">IF(AND(ISNUMBER(BE15),BE15&gt;0),calculateWeight(BE15,$D15,$E15,$F15,$G15,AR15,BF$3),0)</f>
        <v>0</v>
      </c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8">
        <f t="shared" ref="BS15:BS19" si="50">IF(ISNUMBER(BI15),calculateEffectiveRepetitions(BI15:BR15),0)</f>
        <v>0</v>
      </c>
      <c r="BT15" s="28">
        <f t="shared" ref="BT15:BT20" si="51">IF(AND(ISNUMBER(BI15),ISNUMBER(BH15)),calculateHVL(BI15:BR15,BH15),0)</f>
        <v>0</v>
      </c>
      <c r="BU15" s="28">
        <f t="shared" ref="BU15:BU20" si="52">IF(AND(ISNUMBER(BH15),ISNUMBER(BI15)),calculate1RM(BH15,BI15),0)</f>
        <v>0</v>
      </c>
      <c r="BV15" s="26"/>
    </row>
    <row r="16">
      <c r="A16" s="13"/>
      <c r="B16" s="27" t="s">
        <v>21</v>
      </c>
      <c r="C16" s="28">
        <v>50.0</v>
      </c>
      <c r="D16" s="29">
        <v>0.83</v>
      </c>
      <c r="E16" s="29">
        <v>0.89</v>
      </c>
      <c r="F16" s="28">
        <v>100.0</v>
      </c>
      <c r="G16" s="28">
        <v>5.0</v>
      </c>
      <c r="H16" s="28" t="s">
        <v>14</v>
      </c>
      <c r="I16" s="23"/>
      <c r="J16" s="4" t="str">
        <f t="shared" si="29"/>
        <v>Lat machine</v>
      </c>
      <c r="K16" s="23">
        <f t="shared" si="30"/>
        <v>4</v>
      </c>
      <c r="L16" s="5">
        <f t="shared" si="31"/>
        <v>45</v>
      </c>
      <c r="M16" s="23">
        <v>8.0</v>
      </c>
      <c r="N16" s="23">
        <v>8.0</v>
      </c>
      <c r="O16" s="23">
        <v>7.0</v>
      </c>
      <c r="P16" s="23">
        <v>5.0</v>
      </c>
      <c r="Q16" s="23"/>
      <c r="R16" s="23"/>
      <c r="S16" s="23"/>
      <c r="T16" s="23"/>
      <c r="U16" s="23"/>
      <c r="V16" s="23"/>
      <c r="W16" s="28">
        <f t="shared" si="32"/>
        <v>21.73</v>
      </c>
      <c r="X16" s="28">
        <f t="shared" si="33"/>
        <v>1178.295129</v>
      </c>
      <c r="Y16" s="28">
        <f t="shared" si="34"/>
        <v>55.86206897</v>
      </c>
      <c r="Z16" s="4" t="str">
        <f t="shared" si="35"/>
        <v>Lat machine</v>
      </c>
      <c r="AA16" s="23">
        <f t="shared" si="36"/>
        <v>1</v>
      </c>
      <c r="AB16" s="5">
        <f t="shared" si="37"/>
        <v>50</v>
      </c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8">
        <f t="shared" si="38"/>
        <v>0</v>
      </c>
      <c r="AN16" s="28">
        <f t="shared" si="39"/>
        <v>0</v>
      </c>
      <c r="AO16" s="28">
        <f t="shared" si="40"/>
        <v>0</v>
      </c>
      <c r="AP16" s="4" t="str">
        <f t="shared" si="41"/>
        <v>Lat machine</v>
      </c>
      <c r="AQ16" s="23">
        <f t="shared" si="42"/>
        <v>1</v>
      </c>
      <c r="AR16" s="5">
        <f t="shared" si="43"/>
        <v>0</v>
      </c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8">
        <f t="shared" si="44"/>
        <v>0</v>
      </c>
      <c r="BD16" s="28">
        <f t="shared" si="45"/>
        <v>0</v>
      </c>
      <c r="BE16" s="28">
        <f t="shared" si="46"/>
        <v>0</v>
      </c>
      <c r="BF16" s="4" t="str">
        <f t="shared" si="47"/>
        <v>Lat machine</v>
      </c>
      <c r="BG16" s="23">
        <f t="shared" si="48"/>
        <v>1</v>
      </c>
      <c r="BH16" s="5">
        <f t="shared" si="49"/>
        <v>0</v>
      </c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8">
        <f t="shared" si="50"/>
        <v>0</v>
      </c>
      <c r="BT16" s="28">
        <f t="shared" si="51"/>
        <v>0</v>
      </c>
      <c r="BU16" s="28">
        <f t="shared" si="52"/>
        <v>0</v>
      </c>
      <c r="BV16" s="26"/>
    </row>
    <row r="17">
      <c r="A17" s="13"/>
      <c r="B17" s="27" t="s">
        <v>22</v>
      </c>
      <c r="C17" s="28">
        <v>40.0</v>
      </c>
      <c r="D17" s="29">
        <v>0.83</v>
      </c>
      <c r="E17" s="29">
        <v>0.89</v>
      </c>
      <c r="F17" s="28">
        <v>100.0</v>
      </c>
      <c r="G17" s="28">
        <v>10.0</v>
      </c>
      <c r="H17" s="28" t="s">
        <v>14</v>
      </c>
      <c r="I17" s="23"/>
      <c r="J17" s="4" t="str">
        <f t="shared" si="29"/>
        <v>Chest press</v>
      </c>
      <c r="K17" s="23">
        <f>IF(ISNUMBER(M17),calculateSets(M17:V17,J$3,0,50%,$H17,$I17),1)</f>
        <v>3</v>
      </c>
      <c r="L17" s="5">
        <f t="shared" si="31"/>
        <v>40</v>
      </c>
      <c r="M17" s="23">
        <v>8.0</v>
      </c>
      <c r="N17" s="23">
        <v>5.0</v>
      </c>
      <c r="O17" s="23">
        <v>5.0</v>
      </c>
      <c r="P17" s="23"/>
      <c r="Q17" s="23"/>
      <c r="R17" s="23"/>
      <c r="S17" s="23"/>
      <c r="T17" s="23"/>
      <c r="U17" s="23"/>
      <c r="V17" s="23"/>
      <c r="W17" s="28">
        <f t="shared" si="32"/>
        <v>15.23</v>
      </c>
      <c r="X17" s="28">
        <f t="shared" si="33"/>
        <v>711.6517241</v>
      </c>
      <c r="Y17" s="28">
        <f t="shared" si="34"/>
        <v>49.65517241</v>
      </c>
      <c r="Z17" s="4" t="str">
        <f t="shared" si="35"/>
        <v>Chest press</v>
      </c>
      <c r="AA17" s="23">
        <f>IF(ISNUMBER(AC17),calculateSets(AC17:AL17,Z$3,0,50%,$H17,$I17),1)</f>
        <v>1</v>
      </c>
      <c r="AB17" s="5">
        <f t="shared" si="37"/>
        <v>50</v>
      </c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8">
        <f t="shared" si="38"/>
        <v>0</v>
      </c>
      <c r="AN17" s="28">
        <f t="shared" si="39"/>
        <v>0</v>
      </c>
      <c r="AO17" s="28">
        <f t="shared" si="40"/>
        <v>0</v>
      </c>
      <c r="AP17" s="4" t="str">
        <f t="shared" si="41"/>
        <v>Chest press</v>
      </c>
      <c r="AQ17" s="23">
        <f>IF(ISNUMBER(AS17),calculateSets(AS17:BB17,AP$3,0,50%,$H17,$I17),1)</f>
        <v>1</v>
      </c>
      <c r="AR17" s="5">
        <f t="shared" si="43"/>
        <v>0</v>
      </c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8">
        <f t="shared" si="44"/>
        <v>0</v>
      </c>
      <c r="BD17" s="28">
        <f t="shared" si="45"/>
        <v>0</v>
      </c>
      <c r="BE17" s="28">
        <f t="shared" si="46"/>
        <v>0</v>
      </c>
      <c r="BF17" s="4" t="str">
        <f t="shared" si="47"/>
        <v>Chest press</v>
      </c>
      <c r="BG17" s="23">
        <f>IF(ISNUMBER(BI17),calculateSets(BI17:BR17,BF$3,0,50%,$H17,$I17),1)</f>
        <v>1</v>
      </c>
      <c r="BH17" s="5">
        <f t="shared" si="49"/>
        <v>0</v>
      </c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8">
        <f t="shared" si="50"/>
        <v>0</v>
      </c>
      <c r="BT17" s="28">
        <f t="shared" si="51"/>
        <v>0</v>
      </c>
      <c r="BU17" s="28">
        <f t="shared" si="52"/>
        <v>0</v>
      </c>
      <c r="BV17" s="26"/>
    </row>
    <row r="18">
      <c r="A18" s="13"/>
      <c r="B18" s="27" t="s">
        <v>23</v>
      </c>
      <c r="C18" s="28">
        <v>100.0</v>
      </c>
      <c r="D18" s="29">
        <v>0.83</v>
      </c>
      <c r="E18" s="29">
        <v>0.89</v>
      </c>
      <c r="F18" s="28">
        <v>100.0</v>
      </c>
      <c r="G18" s="28">
        <v>0.5</v>
      </c>
      <c r="H18" s="28" t="s">
        <v>14</v>
      </c>
      <c r="I18" s="23"/>
      <c r="J18" s="4" t="str">
        <f t="shared" si="29"/>
        <v>Affondi [manubri]</v>
      </c>
      <c r="K18" s="23">
        <f>IF(ISNUMBER(M18),calculateSets(M18:V18,J$3,SUM(W10,W15)*50%,100%,$H18,$I18),1)</f>
        <v>1</v>
      </c>
      <c r="L18" s="5">
        <f t="shared" si="31"/>
        <v>83</v>
      </c>
      <c r="M18" s="24"/>
      <c r="N18" s="24"/>
      <c r="O18" s="24"/>
      <c r="P18" s="23"/>
      <c r="Q18" s="23"/>
      <c r="R18" s="23"/>
      <c r="S18" s="23"/>
      <c r="T18" s="23"/>
      <c r="U18" s="23"/>
      <c r="V18" s="23"/>
      <c r="W18" s="28">
        <f t="shared" si="32"/>
        <v>0</v>
      </c>
      <c r="X18" s="28">
        <f t="shared" si="33"/>
        <v>0</v>
      </c>
      <c r="Y18" s="28">
        <f t="shared" si="34"/>
        <v>0</v>
      </c>
      <c r="Z18" s="4" t="str">
        <f t="shared" si="35"/>
        <v>Affondi [manubri]</v>
      </c>
      <c r="AA18" s="23">
        <f>IF(ISNUMBER(AC18),calculateSets(AC18:AL18,Z$3,SUM(AM10,AM15)*50%,100%,$H18,$I18),1)</f>
        <v>1</v>
      </c>
      <c r="AB18" s="5">
        <f t="shared" si="37"/>
        <v>0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8">
        <f t="shared" si="38"/>
        <v>0</v>
      </c>
      <c r="AN18" s="28">
        <f t="shared" si="39"/>
        <v>0</v>
      </c>
      <c r="AO18" s="28">
        <f t="shared" si="40"/>
        <v>0</v>
      </c>
      <c r="AP18" s="4" t="str">
        <f t="shared" si="41"/>
        <v>Affondi [manubri]</v>
      </c>
      <c r="AQ18" s="23">
        <f>IF(ISNUMBER(AS18),calculateSets(AS18:BB18,AP$3,SUM(BC10,BC15)*50%,100%,$H18,$I18),1)</f>
        <v>1</v>
      </c>
      <c r="AR18" s="5">
        <f t="shared" si="43"/>
        <v>0</v>
      </c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8">
        <f t="shared" si="44"/>
        <v>0</v>
      </c>
      <c r="BD18" s="28">
        <f t="shared" si="45"/>
        <v>0</v>
      </c>
      <c r="BE18" s="28">
        <f t="shared" si="46"/>
        <v>0</v>
      </c>
      <c r="BF18" s="4" t="str">
        <f t="shared" si="47"/>
        <v>Affondi [manubri]</v>
      </c>
      <c r="BG18" s="23">
        <f>IF(ISNUMBER(BI18),calculateSets(BI18:BR18,BF$3,SUM(BS10,BS15)*50%,100%,$H18,$I18),1)</f>
        <v>1</v>
      </c>
      <c r="BH18" s="5">
        <f t="shared" si="49"/>
        <v>0</v>
      </c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8">
        <f t="shared" si="50"/>
        <v>0</v>
      </c>
      <c r="BT18" s="28">
        <f t="shared" si="51"/>
        <v>0</v>
      </c>
      <c r="BU18" s="28">
        <f t="shared" si="52"/>
        <v>0</v>
      </c>
      <c r="BV18" s="26"/>
    </row>
    <row r="19">
      <c r="A19" s="13"/>
      <c r="B19" s="27" t="s">
        <v>24</v>
      </c>
      <c r="C19" s="28">
        <v>100.0</v>
      </c>
      <c r="D19" s="29">
        <v>0.83</v>
      </c>
      <c r="E19" s="29">
        <v>0.89</v>
      </c>
      <c r="F19" s="28">
        <v>100.0</v>
      </c>
      <c r="G19" s="28">
        <v>0.5</v>
      </c>
      <c r="H19" s="28" t="s">
        <v>14</v>
      </c>
      <c r="I19" s="23"/>
      <c r="J19" s="4" t="str">
        <f t="shared" si="29"/>
        <v>Estensioni tricipiti [cavi]</v>
      </c>
      <c r="K19" s="23">
        <f>IF(ISNUMBER(M19),calculateSets(M19:V19,J$3,W17,100%,$H19,$I19),1)</f>
        <v>1</v>
      </c>
      <c r="L19" s="5">
        <f t="shared" si="31"/>
        <v>83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8">
        <f t="shared" si="32"/>
        <v>0</v>
      </c>
      <c r="X19" s="28">
        <f t="shared" si="33"/>
        <v>0</v>
      </c>
      <c r="Y19" s="28">
        <f t="shared" si="34"/>
        <v>0</v>
      </c>
      <c r="Z19" s="4" t="str">
        <f t="shared" si="35"/>
        <v>Estensioni tricipiti [cavi]</v>
      </c>
      <c r="AA19" s="23">
        <f>IF(ISNUMBER(AC19),calculateSets(AC19:AL19,Z$3,AM17,100%,$H19,$I19),1)</f>
        <v>1</v>
      </c>
      <c r="AB19" s="5">
        <f t="shared" si="37"/>
        <v>0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8">
        <f t="shared" si="38"/>
        <v>0</v>
      </c>
      <c r="AN19" s="28">
        <f t="shared" si="39"/>
        <v>0</v>
      </c>
      <c r="AO19" s="28">
        <f t="shared" si="40"/>
        <v>0</v>
      </c>
      <c r="AP19" s="4" t="str">
        <f t="shared" si="41"/>
        <v>Estensioni tricipiti [cavi]</v>
      </c>
      <c r="AQ19" s="23">
        <f>IF(ISNUMBER(AS19),calculateSets(AS19:BB19,AP$3,BC17,100%,$H19,$I19),1)</f>
        <v>1</v>
      </c>
      <c r="AR19" s="5">
        <f t="shared" si="43"/>
        <v>0</v>
      </c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8">
        <f t="shared" si="44"/>
        <v>0</v>
      </c>
      <c r="BD19" s="28">
        <f t="shared" si="45"/>
        <v>0</v>
      </c>
      <c r="BE19" s="28">
        <f t="shared" si="46"/>
        <v>0</v>
      </c>
      <c r="BF19" s="4" t="str">
        <f t="shared" si="47"/>
        <v>Estensioni tricipiti [cavi]</v>
      </c>
      <c r="BG19" s="23">
        <f>IF(ISNUMBER(BI19),calculateSets(BI19:BR19,BF$3,BS17,100%,$H19,$I19),1)</f>
        <v>1</v>
      </c>
      <c r="BH19" s="5">
        <f t="shared" si="49"/>
        <v>0</v>
      </c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8">
        <f t="shared" si="50"/>
        <v>0</v>
      </c>
      <c r="BT19" s="28">
        <f t="shared" si="51"/>
        <v>0</v>
      </c>
      <c r="BU19" s="28">
        <f t="shared" si="52"/>
        <v>0</v>
      </c>
      <c r="BV19" s="26"/>
    </row>
    <row r="20">
      <c r="A20" s="31"/>
      <c r="B20" s="27" t="s">
        <v>19</v>
      </c>
      <c r="C20" s="33">
        <f>C11</f>
        <v>120</v>
      </c>
      <c r="D20" s="29"/>
      <c r="E20" s="29"/>
      <c r="F20" s="28"/>
      <c r="G20" s="28"/>
      <c r="H20" s="28" t="s">
        <v>14</v>
      </c>
      <c r="I20" s="23">
        <v>6.0</v>
      </c>
      <c r="J20" s="4" t="str">
        <f t="shared" si="29"/>
        <v>Plank</v>
      </c>
      <c r="K20" s="23">
        <f>MIN(
  IF(
    SUM(OFFSET(K20, 0, 2, 1, 10)) &lt; $C20*3,
    COUNTA(OFFSET(K20, 0, 2, 1, 10)) + 1,
    COUNTA(OFFSET(K20, 0, 2, 1, 10))
  ),
  $I20
)</f>
        <v>1</v>
      </c>
      <c r="L20" s="24">
        <f t="shared" si="31"/>
        <v>0</v>
      </c>
      <c r="M20" s="24"/>
      <c r="N20" s="24"/>
      <c r="O20" s="24"/>
      <c r="P20" s="23"/>
      <c r="Q20" s="23"/>
      <c r="R20" s="23"/>
      <c r="S20" s="23"/>
      <c r="T20" s="23"/>
      <c r="U20" s="23"/>
      <c r="V20" s="23"/>
      <c r="W20" s="23">
        <f>SUM(M20:V20)</f>
        <v>0</v>
      </c>
      <c r="X20" s="23">
        <f t="shared" si="33"/>
        <v>0</v>
      </c>
      <c r="Y20" s="23">
        <f t="shared" si="34"/>
        <v>0</v>
      </c>
      <c r="Z20" s="4" t="str">
        <f t="shared" si="35"/>
        <v>Plank</v>
      </c>
      <c r="AA20" s="23">
        <f>MIN(
  IF(
    SUM(OFFSET(AA20, 0, 2, 1, 10)) &lt; $C20*3,
    COUNTA(OFFSET(AA20, 0, 2, 1, 10)) + 1,
    COUNTA(OFFSET(AA20, 0, 2, 1, 10))
  ),
  $I20
)</f>
        <v>1</v>
      </c>
      <c r="AB20" s="5">
        <f t="shared" si="37"/>
        <v>0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8">
        <f>SUM(AC20:AL20)</f>
        <v>0</v>
      </c>
      <c r="AN20" s="28">
        <f t="shared" si="39"/>
        <v>0</v>
      </c>
      <c r="AO20" s="28">
        <f t="shared" si="40"/>
        <v>0</v>
      </c>
      <c r="AP20" s="4" t="str">
        <f t="shared" si="41"/>
        <v>Plank</v>
      </c>
      <c r="AQ20" s="23">
        <f>MIN(
  IF(
    SUM(OFFSET(AQ20, 0, 2, 1, 10)) &lt; $C20*3,
    COUNTA(OFFSET(AQ20, 0, 2, 1, 10)) + 1,
    COUNTA(OFFSET(AQ20, 0, 2, 1, 10))
  ),
  $I20
)</f>
        <v>1</v>
      </c>
      <c r="AR20" s="5">
        <f t="shared" si="43"/>
        <v>0</v>
      </c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8">
        <f>sum(AS20:BB20)</f>
        <v>0</v>
      </c>
      <c r="BD20" s="28">
        <f t="shared" si="45"/>
        <v>0</v>
      </c>
      <c r="BE20" s="28">
        <f t="shared" si="46"/>
        <v>0</v>
      </c>
      <c r="BF20" s="4" t="str">
        <f t="shared" si="47"/>
        <v>Plank</v>
      </c>
      <c r="BG20" s="23">
        <f>MIN(
  IF(
    SUM(OFFSET(BG20, 0, 2, 1, 10)) &lt; $C20*3,
    COUNTA(OFFSET(BG20, 0, 2, 1, 10)) + 1,
    COUNTA(OFFSET(BG20, 0, 2, 1, 10))
  ),
  $I20
)</f>
        <v>1</v>
      </c>
      <c r="BH20" s="5">
        <f t="shared" si="49"/>
        <v>0</v>
      </c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8">
        <f>SUM(BI20:BR20)</f>
        <v>0</v>
      </c>
      <c r="BT20" s="28">
        <f t="shared" si="51"/>
        <v>0</v>
      </c>
      <c r="BU20" s="28">
        <f t="shared" si="52"/>
        <v>0</v>
      </c>
      <c r="BV20" s="26"/>
    </row>
    <row r="21">
      <c r="A21" s="34"/>
      <c r="B21" s="3"/>
      <c r="J21" s="15" t="str">
        <f>J3</f>
        <v>Week 1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8"/>
      <c r="Z21" s="15" t="str">
        <f>Z3</f>
        <v>Week 2</v>
      </c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8"/>
      <c r="AP21" s="15" t="str">
        <f>AP3</f>
        <v>Week 3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8"/>
      <c r="BF21" s="15" t="str">
        <f>BF3</f>
        <v>Week 4</v>
      </c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8"/>
      <c r="BV21" s="26"/>
    </row>
    <row r="22">
      <c r="A22" s="34"/>
      <c r="J22" s="18" t="s">
        <v>1</v>
      </c>
      <c r="K22" s="18" t="s">
        <v>2</v>
      </c>
      <c r="L22" s="18" t="s">
        <v>3</v>
      </c>
      <c r="M22" s="19" t="s">
        <v>4</v>
      </c>
      <c r="N22" s="7"/>
      <c r="O22" s="7"/>
      <c r="P22" s="7"/>
      <c r="Q22" s="7"/>
      <c r="R22" s="7"/>
      <c r="S22" s="7"/>
      <c r="T22" s="7"/>
      <c r="U22" s="7"/>
      <c r="V22" s="8"/>
      <c r="W22" s="20" t="s">
        <v>5</v>
      </c>
      <c r="X22" s="20" t="s">
        <v>6</v>
      </c>
      <c r="Y22" s="20" t="s">
        <v>7</v>
      </c>
      <c r="Z22" s="18" t="s">
        <v>1</v>
      </c>
      <c r="AA22" s="18" t="s">
        <v>2</v>
      </c>
      <c r="AB22" s="18" t="s">
        <v>3</v>
      </c>
      <c r="AC22" s="19" t="s">
        <v>4</v>
      </c>
      <c r="AD22" s="7"/>
      <c r="AE22" s="7"/>
      <c r="AF22" s="7"/>
      <c r="AG22" s="7"/>
      <c r="AH22" s="7"/>
      <c r="AI22" s="7"/>
      <c r="AJ22" s="7"/>
      <c r="AK22" s="7"/>
      <c r="AL22" s="8"/>
      <c r="AM22" s="20" t="s">
        <v>5</v>
      </c>
      <c r="AN22" s="20" t="s">
        <v>6</v>
      </c>
      <c r="AO22" s="20" t="s">
        <v>7</v>
      </c>
      <c r="AP22" s="18" t="s">
        <v>1</v>
      </c>
      <c r="AQ22" s="18" t="s">
        <v>2</v>
      </c>
      <c r="AR22" s="18" t="s">
        <v>3</v>
      </c>
      <c r="AS22" s="19" t="s">
        <v>4</v>
      </c>
      <c r="AT22" s="7"/>
      <c r="AU22" s="7"/>
      <c r="AV22" s="7"/>
      <c r="AW22" s="7"/>
      <c r="AX22" s="7"/>
      <c r="AY22" s="7"/>
      <c r="AZ22" s="7"/>
      <c r="BA22" s="7"/>
      <c r="BB22" s="8"/>
      <c r="BC22" s="20" t="s">
        <v>5</v>
      </c>
      <c r="BD22" s="20" t="s">
        <v>6</v>
      </c>
      <c r="BE22" s="20" t="s">
        <v>7</v>
      </c>
      <c r="BF22" s="18" t="s">
        <v>1</v>
      </c>
      <c r="BG22" s="18" t="s">
        <v>2</v>
      </c>
      <c r="BH22" s="18" t="s">
        <v>3</v>
      </c>
      <c r="BI22" s="19" t="s">
        <v>4</v>
      </c>
      <c r="BJ22" s="7"/>
      <c r="BK22" s="7"/>
      <c r="BL22" s="7"/>
      <c r="BM22" s="7"/>
      <c r="BN22" s="7"/>
      <c r="BO22" s="7"/>
      <c r="BP22" s="7"/>
      <c r="BQ22" s="7"/>
      <c r="BR22" s="8"/>
      <c r="BS22" s="20" t="s">
        <v>5</v>
      </c>
      <c r="BT22" s="20" t="s">
        <v>6</v>
      </c>
      <c r="BU22" s="20" t="s">
        <v>7</v>
      </c>
      <c r="BV22" s="26"/>
    </row>
    <row r="23">
      <c r="A23" s="34"/>
      <c r="B23" s="2" t="s">
        <v>1</v>
      </c>
      <c r="C23" s="2" t="s">
        <v>7</v>
      </c>
      <c r="D23" s="15" t="s">
        <v>8</v>
      </c>
      <c r="E23" s="8"/>
      <c r="F23" s="2" t="s">
        <v>9</v>
      </c>
      <c r="G23" s="2" t="s">
        <v>10</v>
      </c>
      <c r="H23" s="2" t="s">
        <v>11</v>
      </c>
      <c r="I23" s="22" t="s">
        <v>12</v>
      </c>
      <c r="J23" s="4"/>
      <c r="K23" s="23"/>
      <c r="L23" s="24"/>
      <c r="M23" s="25"/>
      <c r="N23" s="7"/>
      <c r="O23" s="7"/>
      <c r="P23" s="7"/>
      <c r="Q23" s="7"/>
      <c r="R23" s="7"/>
      <c r="S23" s="7"/>
      <c r="T23" s="7"/>
      <c r="U23" s="7"/>
      <c r="V23" s="8"/>
      <c r="W23" s="24"/>
      <c r="X23" s="24"/>
      <c r="Y23" s="24"/>
      <c r="Z23" s="4"/>
      <c r="AA23" s="23"/>
      <c r="AB23" s="24"/>
      <c r="AC23" s="25"/>
      <c r="AD23" s="7"/>
      <c r="AE23" s="7"/>
      <c r="AF23" s="7"/>
      <c r="AG23" s="7"/>
      <c r="AH23" s="7"/>
      <c r="AI23" s="7"/>
      <c r="AJ23" s="7"/>
      <c r="AK23" s="7"/>
      <c r="AL23" s="8"/>
      <c r="AM23" s="24"/>
      <c r="AN23" s="24"/>
      <c r="AO23" s="24"/>
      <c r="AP23" s="4"/>
      <c r="AQ23" s="23"/>
      <c r="AR23" s="24"/>
      <c r="AS23" s="25"/>
      <c r="AT23" s="7"/>
      <c r="AU23" s="7"/>
      <c r="AV23" s="7"/>
      <c r="AW23" s="7"/>
      <c r="AX23" s="7"/>
      <c r="AY23" s="7"/>
      <c r="AZ23" s="7"/>
      <c r="BA23" s="7"/>
      <c r="BB23" s="8"/>
      <c r="BC23" s="24"/>
      <c r="BD23" s="24"/>
      <c r="BE23" s="24"/>
      <c r="BF23" s="4"/>
      <c r="BG23" s="23"/>
      <c r="BH23" s="24"/>
      <c r="BI23" s="25"/>
      <c r="BJ23" s="7"/>
      <c r="BK23" s="7"/>
      <c r="BL23" s="7"/>
      <c r="BM23" s="7"/>
      <c r="BN23" s="7"/>
      <c r="BO23" s="7"/>
      <c r="BP23" s="7"/>
      <c r="BQ23" s="7"/>
      <c r="BR23" s="8"/>
      <c r="BS23" s="24"/>
      <c r="BT23" s="24"/>
      <c r="BU23" s="24"/>
      <c r="BV23" s="26"/>
    </row>
    <row r="24">
      <c r="A24" s="34"/>
      <c r="B24" s="27" t="s">
        <v>13</v>
      </c>
      <c r="C24" s="28">
        <v>100.0</v>
      </c>
      <c r="D24" s="29">
        <v>0.83</v>
      </c>
      <c r="E24" s="29">
        <v>0.89</v>
      </c>
      <c r="F24" s="28">
        <v>100.0</v>
      </c>
      <c r="G24" s="28">
        <v>0.5</v>
      </c>
      <c r="H24" s="28" t="s">
        <v>14</v>
      </c>
      <c r="I24" s="23"/>
      <c r="J24" s="4" t="str">
        <f t="shared" ref="J24:J29" si="53">$B24</f>
        <v>Leg press</v>
      </c>
      <c r="K24" s="30">
        <f t="shared" ref="K24:K25" si="54">IF(ISNUMBER(M24),calculateSets(M24:V24,J$3,0,50%,$H24,$I24),1)</f>
        <v>1</v>
      </c>
      <c r="L24" s="5">
        <f t="shared" ref="L24:L29" si="55">IF(AND(ISNUMBER(C24),C24&gt;0),calculateWeight(C24,$D24,$E24,$F24,$G24,0,J$3),0)</f>
        <v>83</v>
      </c>
      <c r="M24" s="30"/>
      <c r="N24" s="30"/>
      <c r="O24" s="23"/>
      <c r="P24" s="23"/>
      <c r="Q24" s="23"/>
      <c r="R24" s="23"/>
      <c r="S24" s="23"/>
      <c r="T24" s="23"/>
      <c r="U24" s="23"/>
      <c r="V24" s="23"/>
      <c r="W24" s="28">
        <f t="shared" ref="W24:W29" si="56">IF(ISNUMBER(M24),calculateEffectiveRepetitions(M24:V24),0)</f>
        <v>0</v>
      </c>
      <c r="X24" s="28">
        <f t="shared" ref="X24:X29" si="57">IF(AND(ISNUMBER(M24),ISNUMBER(L24)),calculateHVL(M24:V24,L24),0)</f>
        <v>0</v>
      </c>
      <c r="Y24" s="28">
        <f t="shared" ref="Y24:Y29" si="58">IF(AND(ISNUMBER(L24),ISNUMBER(M24)),calculate1RM(L24,M24),0)</f>
        <v>0</v>
      </c>
      <c r="Z24" s="4" t="str">
        <f t="shared" ref="Z24:Z29" si="59">J24</f>
        <v>Leg press</v>
      </c>
      <c r="AA24" s="30">
        <f t="shared" ref="AA24:AA25" si="60">IF(ISNUMBER(AC24),calculateSets(AC24:AL24,Z$3,0,50%,$H24,$I24),1)</f>
        <v>1</v>
      </c>
      <c r="AB24" s="5">
        <f t="shared" ref="AB24:AB29" si="61">IF(AND(ISNUMBER(Y24),Y24&gt;0),calculateWeight(Y24,$D24,$E24,$F24,$G24,L24,Z$3),0)</f>
        <v>0</v>
      </c>
      <c r="AC24" s="30"/>
      <c r="AD24" s="30"/>
      <c r="AE24" s="23"/>
      <c r="AF24" s="23"/>
      <c r="AG24" s="23"/>
      <c r="AH24" s="23"/>
      <c r="AI24" s="23"/>
      <c r="AJ24" s="23"/>
      <c r="AK24" s="23"/>
      <c r="AL24" s="23"/>
      <c r="AM24" s="28">
        <f t="shared" ref="AM24:AM29" si="62">IF(ISNUMBER(AC24),calculateEffectiveRepetitions(AC24:AL24),0)</f>
        <v>0</v>
      </c>
      <c r="AN24" s="28">
        <f t="shared" ref="AN24:AN29" si="63">IF(AND(ISNUMBER(AC24),ISNUMBER(AB24)),calculateHVL(AC24:AL24,AB24),0)</f>
        <v>0</v>
      </c>
      <c r="AO24" s="28">
        <f t="shared" ref="AO24:AO29" si="64">IF(AND(ISNUMBER(AB24),ISNUMBER(AC24)),calculate1RM(AB24,AC24),0)</f>
        <v>0</v>
      </c>
      <c r="AP24" s="4" t="str">
        <f t="shared" ref="AP24:AP29" si="65">Z24</f>
        <v>Leg press</v>
      </c>
      <c r="AQ24" s="30">
        <f t="shared" ref="AQ24:AQ25" si="66">IF(ISNUMBER(AS24),calculateSets(AS24:BB24,AP$3,0,50%,$H24,$I24),1)</f>
        <v>1</v>
      </c>
      <c r="AR24" s="5">
        <f t="shared" ref="AR24:AR29" si="67">IF(AND(ISNUMBER(AO24),AO24&gt;0),calculateWeight(AO24,$D24,$E24,$F24,$G24,AB24,AP$3),0)</f>
        <v>0</v>
      </c>
      <c r="AS24" s="30"/>
      <c r="AT24" s="30"/>
      <c r="AU24" s="23"/>
      <c r="AV24" s="23"/>
      <c r="AW24" s="23"/>
      <c r="AX24" s="23"/>
      <c r="AY24" s="23"/>
      <c r="AZ24" s="23"/>
      <c r="BA24" s="23"/>
      <c r="BB24" s="23"/>
      <c r="BC24" s="28">
        <f t="shared" ref="BC24:BC29" si="68">IF(ISNUMBER(AS24),calculateEffectiveRepetitions(AS24:BB24),0)</f>
        <v>0</v>
      </c>
      <c r="BD24" s="28">
        <f t="shared" ref="BD24:BD29" si="69">IF(AND(ISNUMBER(AS24),ISNUMBER(AR24)),calculateHVL(AS24:BB24,AR24),0)</f>
        <v>0</v>
      </c>
      <c r="BE24" s="28">
        <f t="shared" ref="BE24:BE29" si="70">IF(AND(ISNUMBER(AR24),ISNUMBER(AS24)),calculate1RM(AR24,AS24),0)</f>
        <v>0</v>
      </c>
      <c r="BF24" s="4" t="str">
        <f t="shared" ref="BF24:BF29" si="71">AP24</f>
        <v>Leg press</v>
      </c>
      <c r="BG24" s="30">
        <f t="shared" ref="BG24:BG25" si="72">IF(ISNUMBER(BI24),calculateSets(BI24:BR24,BF$3,0,50%,$H24,$I24),1)</f>
        <v>1</v>
      </c>
      <c r="BH24" s="5">
        <f t="shared" ref="BH24:BH29" si="73">IF(AND(ISNUMBER(BE24),BE24&gt;0),calculateWeight(BE24,$D24,$E24,$F24,$G24,AR24,BF$3),0)</f>
        <v>0</v>
      </c>
      <c r="BI24" s="30"/>
      <c r="BJ24" s="30"/>
      <c r="BK24" s="23"/>
      <c r="BL24" s="23"/>
      <c r="BM24" s="23"/>
      <c r="BN24" s="23"/>
      <c r="BO24" s="23"/>
      <c r="BP24" s="23"/>
      <c r="BQ24" s="23"/>
      <c r="BR24" s="23"/>
      <c r="BS24" s="28">
        <f t="shared" ref="BS24:BS29" si="74">IF(ISNUMBER(BI24),calculateEffectiveRepetitions(BI24:BR24),0)</f>
        <v>0</v>
      </c>
      <c r="BT24" s="28">
        <f t="shared" ref="BT24:BT29" si="75">IF(AND(ISNUMBER(BI24),ISNUMBER(BH24)),calculateHVL(BI24:BR24,BH24),0)</f>
        <v>0</v>
      </c>
      <c r="BU24" s="28">
        <f t="shared" ref="BU24:BU29" si="76">IF(AND(ISNUMBER(BH24),ISNUMBER(BI24)),calculate1RM(BH24,BI24),0)</f>
        <v>0</v>
      </c>
      <c r="BV24" s="26"/>
    </row>
    <row r="25">
      <c r="A25" s="34"/>
      <c r="B25" s="27" t="s">
        <v>25</v>
      </c>
      <c r="C25" s="28">
        <v>100.0</v>
      </c>
      <c r="D25" s="29">
        <v>0.83</v>
      </c>
      <c r="E25" s="29">
        <v>0.89</v>
      </c>
      <c r="F25" s="28">
        <v>100.0</v>
      </c>
      <c r="G25" s="28">
        <v>0.5</v>
      </c>
      <c r="H25" s="28" t="s">
        <v>14</v>
      </c>
      <c r="I25" s="23"/>
      <c r="J25" s="4" t="str">
        <f t="shared" si="53"/>
        <v>Leg curl</v>
      </c>
      <c r="K25" s="30">
        <f t="shared" si="54"/>
        <v>1</v>
      </c>
      <c r="L25" s="5">
        <f t="shared" si="55"/>
        <v>83</v>
      </c>
      <c r="M25" s="30"/>
      <c r="N25" s="30"/>
      <c r="O25" s="23"/>
      <c r="P25" s="23"/>
      <c r="Q25" s="23"/>
      <c r="R25" s="23"/>
      <c r="S25" s="23"/>
      <c r="T25" s="23"/>
      <c r="U25" s="23"/>
      <c r="V25" s="23"/>
      <c r="W25" s="28">
        <f t="shared" si="56"/>
        <v>0</v>
      </c>
      <c r="X25" s="28">
        <f t="shared" si="57"/>
        <v>0</v>
      </c>
      <c r="Y25" s="28">
        <f t="shared" si="58"/>
        <v>0</v>
      </c>
      <c r="Z25" s="4" t="str">
        <f t="shared" si="59"/>
        <v>Leg curl</v>
      </c>
      <c r="AA25" s="30">
        <f t="shared" si="60"/>
        <v>1</v>
      </c>
      <c r="AB25" s="5">
        <f t="shared" si="61"/>
        <v>0</v>
      </c>
      <c r="AC25" s="30"/>
      <c r="AD25" s="30"/>
      <c r="AE25" s="23"/>
      <c r="AF25" s="23"/>
      <c r="AG25" s="23"/>
      <c r="AH25" s="23"/>
      <c r="AI25" s="23"/>
      <c r="AJ25" s="23"/>
      <c r="AK25" s="23"/>
      <c r="AL25" s="23"/>
      <c r="AM25" s="28">
        <f t="shared" si="62"/>
        <v>0</v>
      </c>
      <c r="AN25" s="28">
        <f t="shared" si="63"/>
        <v>0</v>
      </c>
      <c r="AO25" s="28">
        <f t="shared" si="64"/>
        <v>0</v>
      </c>
      <c r="AP25" s="4" t="str">
        <f t="shared" si="65"/>
        <v>Leg curl</v>
      </c>
      <c r="AQ25" s="30">
        <f t="shared" si="66"/>
        <v>1</v>
      </c>
      <c r="AR25" s="5">
        <f t="shared" si="67"/>
        <v>0</v>
      </c>
      <c r="AS25" s="30"/>
      <c r="AT25" s="30"/>
      <c r="AU25" s="23"/>
      <c r="AV25" s="23"/>
      <c r="AW25" s="23"/>
      <c r="AX25" s="23"/>
      <c r="AY25" s="23"/>
      <c r="AZ25" s="23"/>
      <c r="BA25" s="23"/>
      <c r="BB25" s="23"/>
      <c r="BC25" s="28">
        <f t="shared" si="68"/>
        <v>0</v>
      </c>
      <c r="BD25" s="28">
        <f t="shared" si="69"/>
        <v>0</v>
      </c>
      <c r="BE25" s="28">
        <f t="shared" si="70"/>
        <v>0</v>
      </c>
      <c r="BF25" s="4" t="str">
        <f t="shared" si="71"/>
        <v>Leg curl</v>
      </c>
      <c r="BG25" s="30">
        <f t="shared" si="72"/>
        <v>1</v>
      </c>
      <c r="BH25" s="5">
        <f t="shared" si="73"/>
        <v>0</v>
      </c>
      <c r="BI25" s="30"/>
      <c r="BJ25" s="30"/>
      <c r="BK25" s="23"/>
      <c r="BL25" s="23"/>
      <c r="BM25" s="23"/>
      <c r="BN25" s="23"/>
      <c r="BO25" s="23"/>
      <c r="BP25" s="23"/>
      <c r="BQ25" s="23"/>
      <c r="BR25" s="23"/>
      <c r="BS25" s="28">
        <f t="shared" si="74"/>
        <v>0</v>
      </c>
      <c r="BT25" s="28">
        <f t="shared" si="75"/>
        <v>0</v>
      </c>
      <c r="BU25" s="28">
        <f t="shared" si="76"/>
        <v>0</v>
      </c>
      <c r="BV25" s="21"/>
    </row>
    <row r="26">
      <c r="A26" s="34"/>
      <c r="B26" s="27" t="s">
        <v>26</v>
      </c>
      <c r="C26" s="28">
        <v>100.0</v>
      </c>
      <c r="D26" s="29">
        <v>0.83</v>
      </c>
      <c r="E26" s="29">
        <v>0.89</v>
      </c>
      <c r="F26" s="28">
        <v>100.0</v>
      </c>
      <c r="G26" s="28">
        <v>0.5</v>
      </c>
      <c r="H26" s="28" t="s">
        <v>14</v>
      </c>
      <c r="I26" s="23"/>
      <c r="J26" s="4" t="str">
        <f t="shared" si="53"/>
        <v>Panca inclinata [manubri]</v>
      </c>
      <c r="K26" s="30">
        <f t="shared" ref="K26:K27" si="77">IF(ISNUMBER(M26),calculateSets(M26:V26,J$3,W24,100%,$H26,$I26),1)</f>
        <v>1</v>
      </c>
      <c r="L26" s="5">
        <f t="shared" si="55"/>
        <v>83</v>
      </c>
      <c r="M26" s="30"/>
      <c r="N26" s="30"/>
      <c r="O26" s="23"/>
      <c r="P26" s="23"/>
      <c r="Q26" s="23"/>
      <c r="R26" s="23"/>
      <c r="S26" s="23"/>
      <c r="T26" s="23"/>
      <c r="U26" s="23"/>
      <c r="V26" s="23"/>
      <c r="W26" s="28">
        <f t="shared" si="56"/>
        <v>0</v>
      </c>
      <c r="X26" s="28">
        <f t="shared" si="57"/>
        <v>0</v>
      </c>
      <c r="Y26" s="28">
        <f t="shared" si="58"/>
        <v>0</v>
      </c>
      <c r="Z26" s="4" t="str">
        <f t="shared" si="59"/>
        <v>Panca inclinata [manubri]</v>
      </c>
      <c r="AA26" s="30">
        <f t="shared" ref="AA26:AA27" si="78">IF(ISNUMBER(AC26),calculateSets(AC26:AL26,Z$3,AM24,100%,$H26,$I26),1)</f>
        <v>1</v>
      </c>
      <c r="AB26" s="5">
        <f t="shared" si="61"/>
        <v>0</v>
      </c>
      <c r="AC26" s="30"/>
      <c r="AD26" s="30"/>
      <c r="AE26" s="23"/>
      <c r="AF26" s="23"/>
      <c r="AG26" s="23"/>
      <c r="AH26" s="23"/>
      <c r="AI26" s="23"/>
      <c r="AJ26" s="23"/>
      <c r="AK26" s="23"/>
      <c r="AL26" s="23"/>
      <c r="AM26" s="28">
        <f t="shared" si="62"/>
        <v>0</v>
      </c>
      <c r="AN26" s="28">
        <f t="shared" si="63"/>
        <v>0</v>
      </c>
      <c r="AO26" s="28">
        <f t="shared" si="64"/>
        <v>0</v>
      </c>
      <c r="AP26" s="4" t="str">
        <f t="shared" si="65"/>
        <v>Panca inclinata [manubri]</v>
      </c>
      <c r="AQ26" s="30">
        <f t="shared" ref="AQ26:AQ27" si="79">IF(ISNUMBER(AS26),calculateSets(AS26:BB26,AP$3,BC24,100%,$H26,$I26),1)</f>
        <v>1</v>
      </c>
      <c r="AR26" s="5">
        <f t="shared" si="67"/>
        <v>0</v>
      </c>
      <c r="AS26" s="30"/>
      <c r="AT26" s="30"/>
      <c r="AU26" s="23"/>
      <c r="AV26" s="23"/>
      <c r="AW26" s="23"/>
      <c r="AX26" s="23"/>
      <c r="AY26" s="23"/>
      <c r="AZ26" s="23"/>
      <c r="BA26" s="23"/>
      <c r="BB26" s="23"/>
      <c r="BC26" s="28">
        <f t="shared" si="68"/>
        <v>0</v>
      </c>
      <c r="BD26" s="28">
        <f t="shared" si="69"/>
        <v>0</v>
      </c>
      <c r="BE26" s="28">
        <f t="shared" si="70"/>
        <v>0</v>
      </c>
      <c r="BF26" s="4" t="str">
        <f t="shared" si="71"/>
        <v>Panca inclinata [manubri]</v>
      </c>
      <c r="BG26" s="30">
        <f t="shared" ref="BG26:BG27" si="80">IF(ISNUMBER(BI26),calculateSets(BI26:BR26,BF$3,BS24,100%,$H26,$I26),1)</f>
        <v>1</v>
      </c>
      <c r="BH26" s="5">
        <f t="shared" si="73"/>
        <v>0</v>
      </c>
      <c r="BI26" s="30"/>
      <c r="BJ26" s="30"/>
      <c r="BK26" s="23"/>
      <c r="BL26" s="23"/>
      <c r="BM26" s="23"/>
      <c r="BN26" s="23"/>
      <c r="BO26" s="23"/>
      <c r="BP26" s="23"/>
      <c r="BQ26" s="23"/>
      <c r="BR26" s="23"/>
      <c r="BS26" s="28">
        <f t="shared" si="74"/>
        <v>0</v>
      </c>
      <c r="BT26" s="28">
        <f t="shared" si="75"/>
        <v>0</v>
      </c>
      <c r="BU26" s="28">
        <f t="shared" si="76"/>
        <v>0</v>
      </c>
      <c r="BV26" s="26"/>
    </row>
    <row r="27">
      <c r="A27" s="34"/>
      <c r="B27" s="27" t="s">
        <v>27</v>
      </c>
      <c r="C27" s="28">
        <v>100.0</v>
      </c>
      <c r="D27" s="29">
        <v>0.83</v>
      </c>
      <c r="E27" s="29">
        <v>0.89</v>
      </c>
      <c r="F27" s="28">
        <v>100.0</v>
      </c>
      <c r="G27" s="28">
        <v>0.5</v>
      </c>
      <c r="H27" s="28" t="s">
        <v>14</v>
      </c>
      <c r="I27" s="23"/>
      <c r="J27" s="4" t="str">
        <f t="shared" si="53"/>
        <v>Panca inclinata</v>
      </c>
      <c r="K27" s="30">
        <f t="shared" si="77"/>
        <v>1</v>
      </c>
      <c r="L27" s="5">
        <f t="shared" si="55"/>
        <v>83</v>
      </c>
      <c r="M27" s="30"/>
      <c r="N27" s="30"/>
      <c r="O27" s="23"/>
      <c r="P27" s="23"/>
      <c r="Q27" s="23"/>
      <c r="R27" s="23"/>
      <c r="S27" s="23"/>
      <c r="T27" s="23"/>
      <c r="U27" s="23"/>
      <c r="V27" s="23"/>
      <c r="W27" s="28">
        <f t="shared" si="56"/>
        <v>0</v>
      </c>
      <c r="X27" s="28">
        <f t="shared" si="57"/>
        <v>0</v>
      </c>
      <c r="Y27" s="28">
        <f t="shared" si="58"/>
        <v>0</v>
      </c>
      <c r="Z27" s="4" t="str">
        <f t="shared" si="59"/>
        <v>Panca inclinata</v>
      </c>
      <c r="AA27" s="30">
        <f t="shared" si="78"/>
        <v>1</v>
      </c>
      <c r="AB27" s="5">
        <f t="shared" si="61"/>
        <v>0</v>
      </c>
      <c r="AC27" s="30"/>
      <c r="AD27" s="30"/>
      <c r="AE27" s="23"/>
      <c r="AF27" s="23"/>
      <c r="AG27" s="23"/>
      <c r="AH27" s="23"/>
      <c r="AI27" s="23"/>
      <c r="AJ27" s="23"/>
      <c r="AK27" s="23"/>
      <c r="AL27" s="23"/>
      <c r="AM27" s="28">
        <f t="shared" si="62"/>
        <v>0</v>
      </c>
      <c r="AN27" s="28">
        <f t="shared" si="63"/>
        <v>0</v>
      </c>
      <c r="AO27" s="28">
        <f t="shared" si="64"/>
        <v>0</v>
      </c>
      <c r="AP27" s="4" t="str">
        <f t="shared" si="65"/>
        <v>Panca inclinata</v>
      </c>
      <c r="AQ27" s="30">
        <f t="shared" si="79"/>
        <v>1</v>
      </c>
      <c r="AR27" s="5">
        <f t="shared" si="67"/>
        <v>0</v>
      </c>
      <c r="AS27" s="30"/>
      <c r="AT27" s="30"/>
      <c r="AU27" s="23"/>
      <c r="AV27" s="23"/>
      <c r="AW27" s="23"/>
      <c r="AX27" s="23"/>
      <c r="AY27" s="23"/>
      <c r="AZ27" s="23"/>
      <c r="BA27" s="23"/>
      <c r="BB27" s="23"/>
      <c r="BC27" s="28">
        <f t="shared" si="68"/>
        <v>0</v>
      </c>
      <c r="BD27" s="28">
        <f t="shared" si="69"/>
        <v>0</v>
      </c>
      <c r="BE27" s="28">
        <f t="shared" si="70"/>
        <v>0</v>
      </c>
      <c r="BF27" s="4" t="str">
        <f t="shared" si="71"/>
        <v>Panca inclinata</v>
      </c>
      <c r="BG27" s="30">
        <f t="shared" si="80"/>
        <v>1</v>
      </c>
      <c r="BH27" s="5">
        <f t="shared" si="73"/>
        <v>0</v>
      </c>
      <c r="BI27" s="30"/>
      <c r="BJ27" s="30"/>
      <c r="BK27" s="23"/>
      <c r="BL27" s="23"/>
      <c r="BM27" s="23"/>
      <c r="BN27" s="23"/>
      <c r="BO27" s="23"/>
      <c r="BP27" s="23"/>
      <c r="BQ27" s="23"/>
      <c r="BR27" s="23"/>
      <c r="BS27" s="28">
        <f t="shared" si="74"/>
        <v>0</v>
      </c>
      <c r="BT27" s="28">
        <f t="shared" si="75"/>
        <v>0</v>
      </c>
      <c r="BU27" s="28">
        <f t="shared" si="76"/>
        <v>0</v>
      </c>
      <c r="BV27" s="26"/>
    </row>
    <row r="28">
      <c r="A28" s="34"/>
      <c r="B28" s="27" t="s">
        <v>28</v>
      </c>
      <c r="C28" s="28">
        <v>100.0</v>
      </c>
      <c r="D28" s="29">
        <v>0.83</v>
      </c>
      <c r="E28" s="29">
        <v>0.89</v>
      </c>
      <c r="F28" s="28">
        <v>100.0</v>
      </c>
      <c r="G28" s="28">
        <v>0.5</v>
      </c>
      <c r="H28" s="28" t="s">
        <v>14</v>
      </c>
      <c r="I28" s="23"/>
      <c r="J28" s="4" t="str">
        <f t="shared" si="53"/>
        <v>Pulley</v>
      </c>
      <c r="K28" s="23">
        <f t="shared" ref="K28:K29" si="81">IF(ISNUMBER(M28),calculateSets(M28:V28,J$3,0,50%,$H28,$I28),1)</f>
        <v>1</v>
      </c>
      <c r="L28" s="5">
        <f t="shared" si="55"/>
        <v>83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8">
        <f t="shared" si="56"/>
        <v>0</v>
      </c>
      <c r="X28" s="28">
        <f t="shared" si="57"/>
        <v>0</v>
      </c>
      <c r="Y28" s="28">
        <f t="shared" si="58"/>
        <v>0</v>
      </c>
      <c r="Z28" s="4" t="str">
        <f t="shared" si="59"/>
        <v>Pulley</v>
      </c>
      <c r="AA28" s="23">
        <f t="shared" ref="AA28:AA29" si="82">IF(ISNUMBER(AC28),calculateSets(AC28:AL28,Z$3,0,50%,$H28,$I28),1)</f>
        <v>1</v>
      </c>
      <c r="AB28" s="5">
        <f t="shared" si="61"/>
        <v>0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8">
        <f t="shared" si="62"/>
        <v>0</v>
      </c>
      <c r="AN28" s="28">
        <f t="shared" si="63"/>
        <v>0</v>
      </c>
      <c r="AO28" s="28">
        <f t="shared" si="64"/>
        <v>0</v>
      </c>
      <c r="AP28" s="4" t="str">
        <f t="shared" si="65"/>
        <v>Pulley</v>
      </c>
      <c r="AQ28" s="23">
        <f t="shared" ref="AQ28:AQ29" si="83">IF(ISNUMBER(AS28),calculateSets(AS28:BB28,AP$3,0,50%,$H28,$I28),1)</f>
        <v>1</v>
      </c>
      <c r="AR28" s="5">
        <f t="shared" si="67"/>
        <v>0</v>
      </c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8">
        <f t="shared" si="68"/>
        <v>0</v>
      </c>
      <c r="BD28" s="28">
        <f t="shared" si="69"/>
        <v>0</v>
      </c>
      <c r="BE28" s="28">
        <f t="shared" si="70"/>
        <v>0</v>
      </c>
      <c r="BF28" s="4" t="str">
        <f t="shared" si="71"/>
        <v>Pulley</v>
      </c>
      <c r="BG28" s="23">
        <f t="shared" ref="BG28:BG29" si="84">IF(ISNUMBER(BI28),calculateSets(BI28:BR28,BF$3,0,50%,$H28,$I28),1)</f>
        <v>1</v>
      </c>
      <c r="BH28" s="5">
        <f t="shared" si="73"/>
        <v>0</v>
      </c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8">
        <f t="shared" si="74"/>
        <v>0</v>
      </c>
      <c r="BT28" s="28">
        <f t="shared" si="75"/>
        <v>0</v>
      </c>
      <c r="BU28" s="28">
        <f t="shared" si="76"/>
        <v>0</v>
      </c>
      <c r="BV28" s="26"/>
    </row>
    <row r="29">
      <c r="A29" s="34"/>
      <c r="B29" s="27" t="s">
        <v>29</v>
      </c>
      <c r="C29" s="28">
        <v>12.5</v>
      </c>
      <c r="D29" s="29">
        <v>0.83</v>
      </c>
      <c r="E29" s="29">
        <v>0.89</v>
      </c>
      <c r="F29" s="28">
        <v>100.0</v>
      </c>
      <c r="G29" s="28">
        <v>0.5</v>
      </c>
      <c r="H29" s="28" t="s">
        <v>14</v>
      </c>
      <c r="I29" s="23"/>
      <c r="J29" s="4" t="str">
        <f t="shared" si="53"/>
        <v>7x7x7</v>
      </c>
      <c r="K29" s="23">
        <f t="shared" si="81"/>
        <v>1</v>
      </c>
      <c r="L29" s="5">
        <f t="shared" si="55"/>
        <v>10.5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8">
        <f t="shared" si="56"/>
        <v>0</v>
      </c>
      <c r="X29" s="28">
        <f t="shared" si="57"/>
        <v>0</v>
      </c>
      <c r="Y29" s="28">
        <f t="shared" si="58"/>
        <v>0</v>
      </c>
      <c r="Z29" s="4" t="str">
        <f t="shared" si="59"/>
        <v>7x7x7</v>
      </c>
      <c r="AA29" s="23">
        <f t="shared" si="82"/>
        <v>1</v>
      </c>
      <c r="AB29" s="5">
        <f t="shared" si="61"/>
        <v>0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8">
        <f t="shared" si="62"/>
        <v>0</v>
      </c>
      <c r="AN29" s="28">
        <f t="shared" si="63"/>
        <v>0</v>
      </c>
      <c r="AO29" s="28">
        <f t="shared" si="64"/>
        <v>0</v>
      </c>
      <c r="AP29" s="4" t="str">
        <f t="shared" si="65"/>
        <v>7x7x7</v>
      </c>
      <c r="AQ29" s="23">
        <f t="shared" si="83"/>
        <v>1</v>
      </c>
      <c r="AR29" s="5">
        <f t="shared" si="67"/>
        <v>0</v>
      </c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8">
        <f t="shared" si="68"/>
        <v>0</v>
      </c>
      <c r="BD29" s="28">
        <f t="shared" si="69"/>
        <v>0</v>
      </c>
      <c r="BE29" s="28">
        <f t="shared" si="70"/>
        <v>0</v>
      </c>
      <c r="BF29" s="4" t="str">
        <f t="shared" si="71"/>
        <v>7x7x7</v>
      </c>
      <c r="BG29" s="23">
        <f t="shared" si="84"/>
        <v>1</v>
      </c>
      <c r="BH29" s="5">
        <f t="shared" si="73"/>
        <v>0</v>
      </c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8">
        <f t="shared" si="74"/>
        <v>0</v>
      </c>
      <c r="BT29" s="28">
        <f t="shared" si="75"/>
        <v>0</v>
      </c>
      <c r="BU29" s="28">
        <f t="shared" si="76"/>
        <v>0</v>
      </c>
      <c r="BV29" s="21"/>
    </row>
    <row r="30">
      <c r="A30" s="34"/>
      <c r="B30" s="32"/>
      <c r="J30" s="15" t="str">
        <f>J3</f>
        <v>Week 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8"/>
      <c r="Z30" s="15" t="str">
        <f>Z21</f>
        <v>Week 2</v>
      </c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8"/>
      <c r="AP30" s="15" t="str">
        <f>AP21</f>
        <v>Week 3</v>
      </c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8"/>
      <c r="BF30" s="15" t="str">
        <f>BF21</f>
        <v>Week 4</v>
      </c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8"/>
      <c r="BV30" s="26"/>
    </row>
    <row r="31">
      <c r="A31" s="34"/>
      <c r="J31" s="18" t="s">
        <v>1</v>
      </c>
      <c r="K31" s="18" t="s">
        <v>2</v>
      </c>
      <c r="L31" s="18" t="s">
        <v>3</v>
      </c>
      <c r="M31" s="19" t="s">
        <v>4</v>
      </c>
      <c r="N31" s="7"/>
      <c r="O31" s="7"/>
      <c r="P31" s="7"/>
      <c r="Q31" s="7"/>
      <c r="R31" s="7"/>
      <c r="S31" s="7"/>
      <c r="T31" s="7"/>
      <c r="U31" s="7"/>
      <c r="V31" s="8"/>
      <c r="W31" s="20" t="s">
        <v>5</v>
      </c>
      <c r="X31" s="20" t="s">
        <v>6</v>
      </c>
      <c r="Y31" s="20" t="s">
        <v>7</v>
      </c>
      <c r="Z31" s="18" t="s">
        <v>1</v>
      </c>
      <c r="AA31" s="18" t="s">
        <v>2</v>
      </c>
      <c r="AB31" s="18" t="s">
        <v>3</v>
      </c>
      <c r="AC31" s="19" t="s">
        <v>4</v>
      </c>
      <c r="AD31" s="7"/>
      <c r="AE31" s="7"/>
      <c r="AF31" s="7"/>
      <c r="AG31" s="7"/>
      <c r="AH31" s="7"/>
      <c r="AI31" s="7"/>
      <c r="AJ31" s="7"/>
      <c r="AK31" s="7"/>
      <c r="AL31" s="8"/>
      <c r="AM31" s="20" t="s">
        <v>5</v>
      </c>
      <c r="AN31" s="20" t="s">
        <v>6</v>
      </c>
      <c r="AO31" s="20" t="s">
        <v>7</v>
      </c>
      <c r="AP31" s="18" t="s">
        <v>1</v>
      </c>
      <c r="AQ31" s="18" t="s">
        <v>2</v>
      </c>
      <c r="AR31" s="18" t="s">
        <v>3</v>
      </c>
      <c r="AS31" s="19" t="s">
        <v>4</v>
      </c>
      <c r="AT31" s="7"/>
      <c r="AU31" s="7"/>
      <c r="AV31" s="7"/>
      <c r="AW31" s="7"/>
      <c r="AX31" s="7"/>
      <c r="AY31" s="7"/>
      <c r="AZ31" s="7"/>
      <c r="BA31" s="7"/>
      <c r="BB31" s="8"/>
      <c r="BC31" s="20" t="s">
        <v>5</v>
      </c>
      <c r="BD31" s="20" t="s">
        <v>6</v>
      </c>
      <c r="BE31" s="20" t="s">
        <v>7</v>
      </c>
      <c r="BF31" s="18" t="s">
        <v>1</v>
      </c>
      <c r="BG31" s="18" t="s">
        <v>2</v>
      </c>
      <c r="BH31" s="18" t="s">
        <v>3</v>
      </c>
      <c r="BI31" s="19" t="s">
        <v>4</v>
      </c>
      <c r="BJ31" s="7"/>
      <c r="BK31" s="7"/>
      <c r="BL31" s="7"/>
      <c r="BM31" s="7"/>
      <c r="BN31" s="7"/>
      <c r="BO31" s="7"/>
      <c r="BP31" s="7"/>
      <c r="BQ31" s="7"/>
      <c r="BR31" s="8"/>
      <c r="BS31" s="20" t="s">
        <v>5</v>
      </c>
      <c r="BT31" s="20" t="s">
        <v>6</v>
      </c>
      <c r="BU31" s="20" t="s">
        <v>7</v>
      </c>
      <c r="BV31" s="26"/>
    </row>
    <row r="32">
      <c r="A32" s="34"/>
      <c r="B32" s="2" t="s">
        <v>1</v>
      </c>
      <c r="C32" s="2" t="s">
        <v>7</v>
      </c>
      <c r="D32" s="15" t="s">
        <v>8</v>
      </c>
      <c r="E32" s="8"/>
      <c r="F32" s="2" t="s">
        <v>9</v>
      </c>
      <c r="G32" s="2" t="s">
        <v>10</v>
      </c>
      <c r="H32" s="2" t="s">
        <v>11</v>
      </c>
      <c r="I32" s="22" t="s">
        <v>12</v>
      </c>
      <c r="J32" s="4"/>
      <c r="K32" s="23"/>
      <c r="L32" s="24"/>
      <c r="M32" s="25"/>
      <c r="N32" s="7"/>
      <c r="O32" s="7"/>
      <c r="P32" s="7"/>
      <c r="Q32" s="7"/>
      <c r="R32" s="7"/>
      <c r="S32" s="7"/>
      <c r="T32" s="7"/>
      <c r="U32" s="7"/>
      <c r="V32" s="8"/>
      <c r="W32" s="24"/>
      <c r="X32" s="24"/>
      <c r="Y32" s="24"/>
      <c r="Z32" s="4"/>
      <c r="AA32" s="23"/>
      <c r="AB32" s="24"/>
      <c r="AC32" s="25"/>
      <c r="AD32" s="7"/>
      <c r="AE32" s="7"/>
      <c r="AF32" s="7"/>
      <c r="AG32" s="7"/>
      <c r="AH32" s="7"/>
      <c r="AI32" s="7"/>
      <c r="AJ32" s="7"/>
      <c r="AK32" s="7"/>
      <c r="AL32" s="8"/>
      <c r="AM32" s="24"/>
      <c r="AN32" s="24"/>
      <c r="AO32" s="24"/>
      <c r="AP32" s="4"/>
      <c r="AQ32" s="23"/>
      <c r="AR32" s="24"/>
      <c r="AS32" s="25"/>
      <c r="AT32" s="7"/>
      <c r="AU32" s="7"/>
      <c r="AV32" s="7"/>
      <c r="AW32" s="7"/>
      <c r="AX32" s="7"/>
      <c r="AY32" s="7"/>
      <c r="AZ32" s="7"/>
      <c r="BA32" s="7"/>
      <c r="BB32" s="8"/>
      <c r="BC32" s="24"/>
      <c r="BD32" s="24"/>
      <c r="BE32" s="24"/>
      <c r="BF32" s="4"/>
      <c r="BG32" s="23"/>
      <c r="BH32" s="24"/>
      <c r="BI32" s="25"/>
      <c r="BJ32" s="7"/>
      <c r="BK32" s="7"/>
      <c r="BL32" s="7"/>
      <c r="BM32" s="7"/>
      <c r="BN32" s="7"/>
      <c r="BO32" s="7"/>
      <c r="BP32" s="7"/>
      <c r="BQ32" s="7"/>
      <c r="BR32" s="8"/>
      <c r="BS32" s="24"/>
      <c r="BT32" s="24"/>
      <c r="BU32" s="24"/>
      <c r="BV32" s="26"/>
    </row>
    <row r="33">
      <c r="A33" s="34"/>
      <c r="B33" s="27"/>
      <c r="C33" s="28">
        <v>100.0</v>
      </c>
      <c r="D33" s="29">
        <v>0.83</v>
      </c>
      <c r="E33" s="29">
        <v>0.89</v>
      </c>
      <c r="F33" s="28">
        <v>100.0</v>
      </c>
      <c r="G33" s="28">
        <v>0.5</v>
      </c>
      <c r="H33" s="28" t="s">
        <v>14</v>
      </c>
      <c r="I33" s="23"/>
      <c r="J33" s="4" t="str">
        <f t="shared" ref="J33:J38" si="85">$B33</f>
        <v/>
      </c>
      <c r="K33" s="23">
        <f t="shared" ref="K33:K34" si="86">IF(ISNUMBER(M33),calculateSets(M33:V33,J$3,W28,100%,$H33,$I33),1)</f>
        <v>1</v>
      </c>
      <c r="L33" s="5">
        <f t="shared" ref="L33:L38" si="87">IF(AND(ISNUMBER(C33),C33&gt;0),calculateWeight(C33,$D33,$E33,$F33,$G33,0,J$3),0)</f>
        <v>83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8">
        <f t="shared" ref="W33:W38" si="88">IF(ISNUMBER(M33),calculateEffectiveRepetitions(M33:V33),0)</f>
        <v>0</v>
      </c>
      <c r="X33" s="28">
        <f t="shared" ref="X33:X38" si="89">IF(AND(ISNUMBER(M33),ISNUMBER(L33)),calculateHVL(M33:V33,L33),0)</f>
        <v>0</v>
      </c>
      <c r="Y33" s="28">
        <f t="shared" ref="Y33:Y38" si="90">IF(AND(ISNUMBER(L33),ISNUMBER(M33)),calculate1RM(L33,M33),0)</f>
        <v>0</v>
      </c>
      <c r="Z33" s="4" t="str">
        <f t="shared" ref="Z33:Z38" si="91">J33</f>
        <v/>
      </c>
      <c r="AA33" s="23">
        <f t="shared" ref="AA33:AA34" si="92">IF(ISNUMBER(AC33),calculateSets(AC33:AL33,Z$3,AM28,100%,$H33,$I33),1)</f>
        <v>1</v>
      </c>
      <c r="AB33" s="5">
        <f t="shared" ref="AB33:AB38" si="93">IF(AND(ISNUMBER(Y33),Y33&gt;0),calculateWeight(Y33,$D33,$E33,$F33,$G33,L33,Z$3),0)</f>
        <v>0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8">
        <f t="shared" ref="AM33:AM38" si="94">IF(ISNUMBER(AC33),calculateEffectiveRepetitions(AC33:AL33),0)</f>
        <v>0</v>
      </c>
      <c r="AN33" s="28">
        <f t="shared" ref="AN33:AN38" si="95">IF(AND(ISNUMBER(AC33),ISNUMBER(AB33)),calculateHVL(AC33:AL33,AB33),0)</f>
        <v>0</v>
      </c>
      <c r="AO33" s="28">
        <f t="shared" ref="AO33:AO38" si="96">IF(AND(ISNUMBER(AB33),ISNUMBER(AC33)),calculate1RM(AB33,AC33),0)</f>
        <v>0</v>
      </c>
      <c r="AP33" s="4" t="str">
        <f t="shared" ref="AP33:AP38" si="97">Z33</f>
        <v/>
      </c>
      <c r="AQ33" s="23">
        <f t="shared" ref="AQ33:AQ34" si="98">IF(ISNUMBER(AS33),calculateSets(AS33:BB33,AP$3,BC28,100%,$H33,$I33),1)</f>
        <v>1</v>
      </c>
      <c r="AR33" s="5">
        <f t="shared" ref="AR33:AR38" si="99">IF(AND(ISNUMBER(AO33),AO33&gt;0),calculateWeight(AO33,$D33,$E33,$F33,$G33,AB33,AP$3),0)</f>
        <v>0</v>
      </c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8">
        <f t="shared" ref="BC33:BC38" si="100">IF(ISNUMBER(AS33),calculateEffectiveRepetitions(AS33:BB33),0)</f>
        <v>0</v>
      </c>
      <c r="BD33" s="28">
        <f t="shared" ref="BD33:BD38" si="101">IF(AND(ISNUMBER(AS33),ISNUMBER(AR33)),calculateHVL(AS33:BB33,AR33),0)</f>
        <v>0</v>
      </c>
      <c r="BE33" s="28">
        <f t="shared" ref="BE33:BE38" si="102">IF(AND(ISNUMBER(AR33),ISNUMBER(AS33)),calculate1RM(AR33,AS33),0)</f>
        <v>0</v>
      </c>
      <c r="BF33" s="4" t="str">
        <f t="shared" ref="BF33:BF38" si="103">AP33</f>
        <v/>
      </c>
      <c r="BG33" s="23">
        <f t="shared" ref="BG33:BG34" si="104">IF(ISNUMBER(BI33),calculateSets(BI33:BR33,BF$3,BS28,100%,$H33,$I33),1)</f>
        <v>1</v>
      </c>
      <c r="BH33" s="5">
        <f t="shared" ref="BH33:BH38" si="105">IF(AND(ISNUMBER(BE33),BE33&gt;0),calculateWeight(BE33,$D33,$E33,$F33,$G33,AR33,BF$3),0)</f>
        <v>0</v>
      </c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8">
        <f t="shared" ref="BS33:BS38" si="106">IF(ISNUMBER(BI33),calculateEffectiveRepetitions(BI33:BR33),0)</f>
        <v>0</v>
      </c>
      <c r="BT33" s="28">
        <f t="shared" ref="BT33:BT38" si="107">IF(AND(ISNUMBER(BI33),ISNUMBER(BH33)),calculateHVL(BI33:BR33,BH33),0)</f>
        <v>0</v>
      </c>
      <c r="BU33" s="28">
        <f t="shared" ref="BU33:BU38" si="108">IF(AND(ISNUMBER(BH33),ISNUMBER(BI33)),calculate1RM(BH33,BI33),0)</f>
        <v>0</v>
      </c>
      <c r="BV33" s="26"/>
    </row>
    <row r="34">
      <c r="A34" s="34"/>
      <c r="B34" s="27"/>
      <c r="C34" s="28">
        <v>100.0</v>
      </c>
      <c r="D34" s="29">
        <v>0.83</v>
      </c>
      <c r="E34" s="29">
        <v>0.89</v>
      </c>
      <c r="F34" s="28">
        <v>100.0</v>
      </c>
      <c r="G34" s="28">
        <v>0.5</v>
      </c>
      <c r="H34" s="28" t="s">
        <v>14</v>
      </c>
      <c r="I34" s="23"/>
      <c r="J34" s="4" t="str">
        <f t="shared" si="85"/>
        <v/>
      </c>
      <c r="K34" s="23">
        <f t="shared" si="86"/>
        <v>1</v>
      </c>
      <c r="L34" s="5">
        <f t="shared" si="87"/>
        <v>83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8">
        <f t="shared" si="88"/>
        <v>0</v>
      </c>
      <c r="X34" s="28">
        <f t="shared" si="89"/>
        <v>0</v>
      </c>
      <c r="Y34" s="28">
        <f t="shared" si="90"/>
        <v>0</v>
      </c>
      <c r="Z34" s="4" t="str">
        <f t="shared" si="91"/>
        <v/>
      </c>
      <c r="AA34" s="23">
        <f t="shared" si="92"/>
        <v>1</v>
      </c>
      <c r="AB34" s="5">
        <f t="shared" si="93"/>
        <v>0</v>
      </c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8">
        <f t="shared" si="94"/>
        <v>0</v>
      </c>
      <c r="AN34" s="28">
        <f t="shared" si="95"/>
        <v>0</v>
      </c>
      <c r="AO34" s="28">
        <f t="shared" si="96"/>
        <v>0</v>
      </c>
      <c r="AP34" s="4" t="str">
        <f t="shared" si="97"/>
        <v/>
      </c>
      <c r="AQ34" s="23">
        <f t="shared" si="98"/>
        <v>1</v>
      </c>
      <c r="AR34" s="5">
        <f t="shared" si="99"/>
        <v>0</v>
      </c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8">
        <f t="shared" si="100"/>
        <v>0</v>
      </c>
      <c r="BD34" s="28">
        <f t="shared" si="101"/>
        <v>0</v>
      </c>
      <c r="BE34" s="28">
        <f t="shared" si="102"/>
        <v>0</v>
      </c>
      <c r="BF34" s="4" t="str">
        <f t="shared" si="103"/>
        <v/>
      </c>
      <c r="BG34" s="23">
        <f t="shared" si="104"/>
        <v>1</v>
      </c>
      <c r="BH34" s="5">
        <f t="shared" si="105"/>
        <v>0</v>
      </c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8">
        <f t="shared" si="106"/>
        <v>0</v>
      </c>
      <c r="BT34" s="28">
        <f t="shared" si="107"/>
        <v>0</v>
      </c>
      <c r="BU34" s="28">
        <f t="shared" si="108"/>
        <v>0</v>
      </c>
      <c r="BV34" s="26"/>
    </row>
    <row r="35">
      <c r="A35" s="34"/>
      <c r="B35" s="27"/>
      <c r="C35" s="28">
        <v>100.0</v>
      </c>
      <c r="D35" s="29">
        <v>0.83</v>
      </c>
      <c r="E35" s="29">
        <v>0.89</v>
      </c>
      <c r="F35" s="28">
        <v>100.0</v>
      </c>
      <c r="G35" s="28">
        <v>0.5</v>
      </c>
      <c r="H35" s="28" t="s">
        <v>14</v>
      </c>
      <c r="I35" s="23"/>
      <c r="J35" s="4" t="str">
        <f t="shared" si="85"/>
        <v/>
      </c>
      <c r="K35" s="23">
        <f>IF(ISNUMBER(M35),calculateSets(M35:V35,J$3,0,50%,$H35,$I35),1)</f>
        <v>1</v>
      </c>
      <c r="L35" s="5">
        <f t="shared" si="87"/>
        <v>83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8">
        <f t="shared" si="88"/>
        <v>0</v>
      </c>
      <c r="X35" s="28">
        <f t="shared" si="89"/>
        <v>0</v>
      </c>
      <c r="Y35" s="28">
        <f t="shared" si="90"/>
        <v>0</v>
      </c>
      <c r="Z35" s="4" t="str">
        <f t="shared" si="91"/>
        <v/>
      </c>
      <c r="AA35" s="23">
        <f>IF(ISNUMBER(AC35),calculateSets(AC35:AL35,Z$3,0,50%,$H35,$I35),1)</f>
        <v>1</v>
      </c>
      <c r="AB35" s="5">
        <f t="shared" si="93"/>
        <v>0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8">
        <f t="shared" si="94"/>
        <v>0</v>
      </c>
      <c r="AN35" s="28">
        <f t="shared" si="95"/>
        <v>0</v>
      </c>
      <c r="AO35" s="28">
        <f t="shared" si="96"/>
        <v>0</v>
      </c>
      <c r="AP35" s="4" t="str">
        <f t="shared" si="97"/>
        <v/>
      </c>
      <c r="AQ35" s="23">
        <f>IF(ISNUMBER(AS35),calculateSets(AS35:BB35,AP$3,0,50%,$H35,$I35),1)</f>
        <v>1</v>
      </c>
      <c r="AR35" s="5">
        <f t="shared" si="99"/>
        <v>0</v>
      </c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8">
        <f t="shared" si="100"/>
        <v>0</v>
      </c>
      <c r="BD35" s="28">
        <f t="shared" si="101"/>
        <v>0</v>
      </c>
      <c r="BE35" s="28">
        <f t="shared" si="102"/>
        <v>0</v>
      </c>
      <c r="BF35" s="4" t="str">
        <f t="shared" si="103"/>
        <v/>
      </c>
      <c r="BG35" s="23">
        <f>IF(ISNUMBER(BI35),calculateSets(BI35:BR35,BF$3,0,50%,$H35,$I35),1)</f>
        <v>1</v>
      </c>
      <c r="BH35" s="5">
        <f t="shared" si="105"/>
        <v>0</v>
      </c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8">
        <f t="shared" si="106"/>
        <v>0</v>
      </c>
      <c r="BT35" s="28">
        <f t="shared" si="107"/>
        <v>0</v>
      </c>
      <c r="BU35" s="28">
        <f t="shared" si="108"/>
        <v>0</v>
      </c>
      <c r="BV35" s="26"/>
    </row>
    <row r="36">
      <c r="A36" s="34"/>
      <c r="B36" s="27"/>
      <c r="C36" s="28">
        <v>100.0</v>
      </c>
      <c r="D36" s="29">
        <v>0.83</v>
      </c>
      <c r="E36" s="29">
        <v>0.89</v>
      </c>
      <c r="F36" s="28">
        <v>100.0</v>
      </c>
      <c r="G36" s="28">
        <v>0.5</v>
      </c>
      <c r="H36" s="28" t="s">
        <v>14</v>
      </c>
      <c r="I36" s="23"/>
      <c r="J36" s="4" t="str">
        <f t="shared" si="85"/>
        <v/>
      </c>
      <c r="K36" s="23">
        <f>IF(ISNUMBER(M36),calculateSets(M36:V36,J$3,SUM(W28,W33)*50%,100%,$H36,$I36),1)</f>
        <v>1</v>
      </c>
      <c r="L36" s="5">
        <f t="shared" si="87"/>
        <v>83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8">
        <f t="shared" si="88"/>
        <v>0</v>
      </c>
      <c r="X36" s="28">
        <f t="shared" si="89"/>
        <v>0</v>
      </c>
      <c r="Y36" s="28">
        <f t="shared" si="90"/>
        <v>0</v>
      </c>
      <c r="Z36" s="4" t="str">
        <f t="shared" si="91"/>
        <v/>
      </c>
      <c r="AA36" s="23">
        <f>IF(ISNUMBER(AC36),calculateSets(AC36:AL36,Z$3,SUM(AM28,AM33)*50%,100%,$H36,$I36),1)</f>
        <v>1</v>
      </c>
      <c r="AB36" s="5">
        <f t="shared" si="93"/>
        <v>0</v>
      </c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8">
        <f t="shared" si="94"/>
        <v>0</v>
      </c>
      <c r="AN36" s="28">
        <f t="shared" si="95"/>
        <v>0</v>
      </c>
      <c r="AO36" s="28">
        <f t="shared" si="96"/>
        <v>0</v>
      </c>
      <c r="AP36" s="4" t="str">
        <f t="shared" si="97"/>
        <v/>
      </c>
      <c r="AQ36" s="23">
        <f>IF(ISNUMBER(AS36),calculateSets(AS36:BB36,AP$3,SUM(BC28,BC33)*50%,100%,$H36,$I36),1)</f>
        <v>1</v>
      </c>
      <c r="AR36" s="5">
        <f t="shared" si="99"/>
        <v>0</v>
      </c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8">
        <f t="shared" si="100"/>
        <v>0</v>
      </c>
      <c r="BD36" s="28">
        <f t="shared" si="101"/>
        <v>0</v>
      </c>
      <c r="BE36" s="28">
        <f t="shared" si="102"/>
        <v>0</v>
      </c>
      <c r="BF36" s="4" t="str">
        <f t="shared" si="103"/>
        <v/>
      </c>
      <c r="BG36" s="23">
        <f>IF(ISNUMBER(BI36),calculateSets(BI36:BR36,BF$3,SUM(BS28,BS33)*50%,100%,$H36,$I36),1)</f>
        <v>1</v>
      </c>
      <c r="BH36" s="5">
        <f t="shared" si="105"/>
        <v>0</v>
      </c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8">
        <f t="shared" si="106"/>
        <v>0</v>
      </c>
      <c r="BT36" s="28">
        <f t="shared" si="107"/>
        <v>0</v>
      </c>
      <c r="BU36" s="28">
        <f t="shared" si="108"/>
        <v>0</v>
      </c>
      <c r="BV36" s="26"/>
    </row>
    <row r="37">
      <c r="A37" s="34"/>
      <c r="B37" s="27"/>
      <c r="C37" s="28">
        <v>100.0</v>
      </c>
      <c r="D37" s="29">
        <v>0.83</v>
      </c>
      <c r="E37" s="29">
        <v>0.89</v>
      </c>
      <c r="F37" s="28">
        <v>100.0</v>
      </c>
      <c r="G37" s="28">
        <v>0.5</v>
      </c>
      <c r="H37" s="28" t="s">
        <v>14</v>
      </c>
      <c r="I37" s="23"/>
      <c r="J37" s="4" t="str">
        <f t="shared" si="85"/>
        <v/>
      </c>
      <c r="K37" s="23">
        <f>IF(ISNUMBER(M37),calculateSets(M37:V37,J$3,W35,100%,$H37,$I37),1)</f>
        <v>1</v>
      </c>
      <c r="L37" s="5">
        <f t="shared" si="87"/>
        <v>83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8">
        <f t="shared" si="88"/>
        <v>0</v>
      </c>
      <c r="X37" s="28">
        <f t="shared" si="89"/>
        <v>0</v>
      </c>
      <c r="Y37" s="28">
        <f t="shared" si="90"/>
        <v>0</v>
      </c>
      <c r="Z37" s="4" t="str">
        <f t="shared" si="91"/>
        <v/>
      </c>
      <c r="AA37" s="23">
        <f>IF(ISNUMBER(AC37),calculateSets(AC37:AL37,Z$3,AM35,100%,$H37,$I37),1)</f>
        <v>1</v>
      </c>
      <c r="AB37" s="5">
        <f t="shared" si="93"/>
        <v>0</v>
      </c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8">
        <f t="shared" si="94"/>
        <v>0</v>
      </c>
      <c r="AN37" s="28">
        <f t="shared" si="95"/>
        <v>0</v>
      </c>
      <c r="AO37" s="28">
        <f t="shared" si="96"/>
        <v>0</v>
      </c>
      <c r="AP37" s="4" t="str">
        <f t="shared" si="97"/>
        <v/>
      </c>
      <c r="AQ37" s="23">
        <f>IF(ISNUMBER(AS37),calculateSets(AS37:BB37,AP$3,BC35,100%,$H37,$I37),1)</f>
        <v>1</v>
      </c>
      <c r="AR37" s="5">
        <f t="shared" si="99"/>
        <v>0</v>
      </c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8">
        <f t="shared" si="100"/>
        <v>0</v>
      </c>
      <c r="BD37" s="28">
        <f t="shared" si="101"/>
        <v>0</v>
      </c>
      <c r="BE37" s="28">
        <f t="shared" si="102"/>
        <v>0</v>
      </c>
      <c r="BF37" s="4" t="str">
        <f t="shared" si="103"/>
        <v/>
      </c>
      <c r="BG37" s="23">
        <f>IF(ISNUMBER(BI37),calculateSets(BI37:BR37,BF$3,BS35,100%,$H37,$I37),1)</f>
        <v>1</v>
      </c>
      <c r="BH37" s="5">
        <f t="shared" si="105"/>
        <v>0</v>
      </c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8">
        <f t="shared" si="106"/>
        <v>0</v>
      </c>
      <c r="BT37" s="28">
        <f t="shared" si="107"/>
        <v>0</v>
      </c>
      <c r="BU37" s="28">
        <f t="shared" si="108"/>
        <v>0</v>
      </c>
      <c r="BV37" s="26"/>
    </row>
    <row r="38">
      <c r="A38" s="34"/>
      <c r="B38" s="27"/>
      <c r="C38" s="28">
        <v>100.0</v>
      </c>
      <c r="D38" s="29">
        <v>0.83</v>
      </c>
      <c r="E38" s="29">
        <v>0.89</v>
      </c>
      <c r="F38" s="28">
        <v>100.0</v>
      </c>
      <c r="G38" s="28">
        <v>0.5</v>
      </c>
      <c r="H38" s="28" t="s">
        <v>14</v>
      </c>
      <c r="I38" s="23"/>
      <c r="J38" s="4" t="str">
        <f t="shared" si="85"/>
        <v/>
      </c>
      <c r="K38" s="23">
        <f>IF(ISNUMBER(M38),calculateSets(M38:V38,J$3,SUM(W29,W34)*50%,100%,$H38,$I38),1)</f>
        <v>1</v>
      </c>
      <c r="L38" s="5">
        <f t="shared" si="87"/>
        <v>83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8">
        <f t="shared" si="88"/>
        <v>0</v>
      </c>
      <c r="X38" s="28">
        <f t="shared" si="89"/>
        <v>0</v>
      </c>
      <c r="Y38" s="28">
        <f t="shared" si="90"/>
        <v>0</v>
      </c>
      <c r="Z38" s="4" t="str">
        <f t="shared" si="91"/>
        <v/>
      </c>
      <c r="AA38" s="23">
        <f>IF(ISNUMBER(AC38),calculateSets(AC38:AL38,Z$3,SUM(AM29,AM34)*50%,100%,$H38,$I38),1)</f>
        <v>1</v>
      </c>
      <c r="AB38" s="5">
        <f t="shared" si="93"/>
        <v>0</v>
      </c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8">
        <f t="shared" si="94"/>
        <v>0</v>
      </c>
      <c r="AN38" s="28">
        <f t="shared" si="95"/>
        <v>0</v>
      </c>
      <c r="AO38" s="28">
        <f t="shared" si="96"/>
        <v>0</v>
      </c>
      <c r="AP38" s="4" t="str">
        <f t="shared" si="97"/>
        <v/>
      </c>
      <c r="AQ38" s="23">
        <f>IF(ISNUMBER(AS38),calculateSets(AS38:BB38,AP$3,SUM(BC29,BC34)*50%,100%,$H38,$I38),1)</f>
        <v>1</v>
      </c>
      <c r="AR38" s="5">
        <f t="shared" si="99"/>
        <v>0</v>
      </c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8">
        <f t="shared" si="100"/>
        <v>0</v>
      </c>
      <c r="BD38" s="28">
        <f t="shared" si="101"/>
        <v>0</v>
      </c>
      <c r="BE38" s="28">
        <f t="shared" si="102"/>
        <v>0</v>
      </c>
      <c r="BF38" s="4" t="str">
        <f t="shared" si="103"/>
        <v/>
      </c>
      <c r="BG38" s="23">
        <f>IF(ISNUMBER(BI38),calculateSets(BI38:BR38,BF$3,SUM(BS29,BS34)*50%,100%,$H38,$I38),1)</f>
        <v>1</v>
      </c>
      <c r="BH38" s="5">
        <f t="shared" si="105"/>
        <v>0</v>
      </c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8">
        <f t="shared" si="106"/>
        <v>0</v>
      </c>
      <c r="BT38" s="28">
        <f t="shared" si="107"/>
        <v>0</v>
      </c>
      <c r="BU38" s="28">
        <f t="shared" si="108"/>
        <v>0</v>
      </c>
      <c r="BV38" s="26"/>
    </row>
    <row r="39">
      <c r="A39" s="34"/>
      <c r="B39" s="32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</row>
    <row r="40">
      <c r="A40" s="34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</row>
    <row r="41">
      <c r="A41" s="34"/>
      <c r="B41" s="15" t="s">
        <v>30</v>
      </c>
      <c r="C41" s="7"/>
      <c r="D41" s="7"/>
      <c r="E41" s="7"/>
      <c r="F41" s="7"/>
      <c r="G41" s="7"/>
      <c r="H41" s="8"/>
      <c r="I41" s="35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</row>
    <row r="42">
      <c r="A42" s="34"/>
      <c r="B42" s="36" t="s">
        <v>31</v>
      </c>
      <c r="C42" s="37"/>
      <c r="D42" s="37"/>
      <c r="E42" s="37"/>
      <c r="F42" s="37"/>
      <c r="G42" s="37"/>
      <c r="H42" s="38"/>
      <c r="I42" s="35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</row>
    <row r="43">
      <c r="A43" s="34"/>
      <c r="B43" s="39"/>
      <c r="H43" s="40"/>
      <c r="I43" s="35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</row>
    <row r="44">
      <c r="A44" s="34"/>
      <c r="B44" s="41"/>
      <c r="C44" s="42"/>
      <c r="D44" s="42"/>
      <c r="E44" s="42"/>
      <c r="F44" s="42"/>
      <c r="G44" s="42"/>
      <c r="H44" s="43"/>
      <c r="I44" s="35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</row>
    <row r="45">
      <c r="A45" s="34"/>
      <c r="B45" s="32"/>
      <c r="C45" s="32"/>
      <c r="D45" s="32"/>
      <c r="E45" s="32"/>
      <c r="F45" s="32"/>
      <c r="G45" s="32"/>
      <c r="H45" s="9"/>
      <c r="I45" s="35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</row>
    <row r="46">
      <c r="A46" s="34"/>
      <c r="B46" s="32"/>
      <c r="C46" s="32"/>
      <c r="D46" s="32"/>
      <c r="E46" s="32"/>
      <c r="F46" s="32"/>
      <c r="G46" s="32"/>
      <c r="H46" s="9"/>
      <c r="I46" s="35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</row>
    <row r="47">
      <c r="A47" s="34"/>
      <c r="B47" s="32"/>
      <c r="C47" s="32"/>
      <c r="D47" s="32"/>
      <c r="E47" s="32"/>
      <c r="F47" s="32"/>
      <c r="G47" s="32"/>
      <c r="H47" s="9"/>
      <c r="I47" s="35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</row>
    <row r="48">
      <c r="A48" s="34"/>
      <c r="B48" s="32"/>
      <c r="C48" s="32"/>
      <c r="D48" s="32"/>
      <c r="E48" s="32"/>
      <c r="F48" s="32"/>
      <c r="G48" s="32"/>
      <c r="H48" s="9"/>
      <c r="I48" s="35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</row>
    <row r="49">
      <c r="A49" s="34"/>
      <c r="B49" s="32"/>
      <c r="C49" s="32"/>
      <c r="D49" s="32"/>
      <c r="E49" s="32"/>
      <c r="F49" s="32"/>
      <c r="G49" s="32"/>
      <c r="H49" s="9"/>
      <c r="I49" s="35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</row>
    <row r="50">
      <c r="A50" s="34"/>
      <c r="B50" s="32"/>
      <c r="C50" s="32"/>
      <c r="D50" s="32"/>
      <c r="E50" s="32"/>
      <c r="F50" s="32"/>
      <c r="G50" s="32"/>
      <c r="H50" s="9"/>
      <c r="I50" s="35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</row>
    <row r="51">
      <c r="A51" s="34"/>
      <c r="B51" s="44"/>
      <c r="C51" s="32"/>
      <c r="D51" s="32"/>
      <c r="E51" s="32"/>
      <c r="F51" s="32"/>
      <c r="G51" s="32"/>
      <c r="H51" s="9"/>
      <c r="I51" s="35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</row>
    <row r="52">
      <c r="A52" s="34"/>
      <c r="B52" s="32"/>
      <c r="C52" s="32"/>
      <c r="D52" s="32"/>
      <c r="E52" s="32"/>
      <c r="F52" s="32"/>
      <c r="G52" s="32"/>
      <c r="H52" s="9"/>
      <c r="I52" s="35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</row>
    <row r="53">
      <c r="A53" s="34"/>
      <c r="B53" s="32"/>
      <c r="C53" s="32"/>
      <c r="D53" s="32"/>
      <c r="E53" s="32"/>
      <c r="F53" s="32"/>
      <c r="G53" s="32"/>
      <c r="H53" s="9"/>
      <c r="I53" s="35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</row>
    <row r="54">
      <c r="A54" s="34"/>
      <c r="B54" s="32"/>
      <c r="C54" s="32"/>
      <c r="D54" s="32"/>
      <c r="E54" s="32"/>
      <c r="F54" s="32"/>
      <c r="G54" s="32"/>
      <c r="H54" s="9"/>
      <c r="I54" s="35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</row>
    <row r="55">
      <c r="A55" s="34"/>
      <c r="B55" s="32"/>
      <c r="C55" s="32"/>
      <c r="D55" s="32"/>
      <c r="E55" s="32"/>
      <c r="F55" s="32"/>
      <c r="G55" s="32"/>
      <c r="H55" s="9"/>
      <c r="I55" s="35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</row>
    <row r="56">
      <c r="A56" s="34"/>
      <c r="B56" s="32"/>
      <c r="C56" s="32"/>
      <c r="D56" s="32"/>
      <c r="E56" s="32"/>
      <c r="F56" s="32"/>
      <c r="G56" s="32"/>
      <c r="H56" s="9"/>
      <c r="I56" s="35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</row>
    <row r="57">
      <c r="A57" s="34"/>
      <c r="B57" s="32"/>
      <c r="C57" s="32"/>
      <c r="D57" s="32"/>
      <c r="E57" s="32"/>
      <c r="F57" s="32"/>
      <c r="G57" s="32"/>
      <c r="H57" s="9"/>
      <c r="I57" s="35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</row>
    <row r="58">
      <c r="A58" s="34"/>
      <c r="B58" s="32"/>
      <c r="C58" s="32"/>
      <c r="D58" s="32"/>
      <c r="E58" s="32"/>
      <c r="F58" s="32"/>
      <c r="G58" s="32"/>
      <c r="H58" s="9"/>
      <c r="I58" s="35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</row>
    <row r="59">
      <c r="A59" s="34"/>
      <c r="B59" s="32"/>
      <c r="C59" s="32"/>
      <c r="D59" s="32"/>
      <c r="E59" s="32"/>
      <c r="F59" s="32"/>
      <c r="G59" s="32"/>
      <c r="H59" s="9"/>
      <c r="I59" s="35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</row>
    <row r="60">
      <c r="A60" s="34"/>
      <c r="B60" s="32"/>
      <c r="C60" s="32"/>
      <c r="D60" s="32"/>
      <c r="E60" s="32"/>
      <c r="F60" s="32"/>
      <c r="G60" s="32"/>
      <c r="H60" s="9"/>
      <c r="I60" s="35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</row>
    <row r="61">
      <c r="A61" s="34"/>
      <c r="B61" s="32"/>
      <c r="C61" s="32"/>
      <c r="D61" s="32"/>
      <c r="E61" s="32"/>
      <c r="F61" s="32"/>
      <c r="G61" s="32"/>
      <c r="H61" s="9"/>
      <c r="I61" s="35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</row>
    <row r="62">
      <c r="A62" s="34"/>
      <c r="B62" s="32"/>
      <c r="C62" s="32"/>
      <c r="D62" s="32"/>
      <c r="E62" s="32"/>
      <c r="F62" s="32"/>
      <c r="G62" s="32"/>
      <c r="H62" s="9"/>
      <c r="I62" s="35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</row>
    <row r="63">
      <c r="A63" s="34"/>
      <c r="B63" s="32"/>
      <c r="C63" s="32"/>
      <c r="D63" s="32"/>
      <c r="E63" s="32"/>
      <c r="F63" s="32"/>
      <c r="G63" s="32"/>
      <c r="H63" s="9"/>
      <c r="I63" s="35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</row>
    <row r="64">
      <c r="A64" s="34"/>
      <c r="B64" s="32"/>
      <c r="C64" s="32"/>
      <c r="D64" s="32"/>
      <c r="E64" s="32"/>
      <c r="F64" s="32"/>
      <c r="G64" s="32"/>
      <c r="H64" s="9"/>
      <c r="I64" s="35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</row>
    <row r="65">
      <c r="A65" s="34"/>
      <c r="B65" s="32"/>
      <c r="C65" s="32"/>
      <c r="D65" s="32"/>
      <c r="E65" s="32"/>
      <c r="F65" s="32"/>
      <c r="G65" s="32"/>
      <c r="H65" s="9"/>
      <c r="I65" s="35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</row>
    <row r="66">
      <c r="A66" s="34"/>
      <c r="B66" s="32"/>
      <c r="C66" s="32"/>
      <c r="D66" s="32"/>
      <c r="E66" s="32"/>
      <c r="F66" s="32"/>
      <c r="G66" s="32"/>
      <c r="H66" s="9"/>
      <c r="I66" s="35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</row>
    <row r="67">
      <c r="A67" s="34"/>
      <c r="B67" s="32"/>
      <c r="C67" s="32"/>
      <c r="D67" s="32"/>
      <c r="E67" s="32"/>
      <c r="F67" s="32"/>
      <c r="G67" s="32"/>
      <c r="H67" s="9"/>
      <c r="I67" s="35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</row>
    <row r="68">
      <c r="A68" s="34"/>
      <c r="B68" s="32"/>
      <c r="C68" s="32"/>
      <c r="D68" s="32"/>
      <c r="E68" s="32"/>
      <c r="F68" s="32"/>
      <c r="G68" s="32"/>
      <c r="H68" s="9"/>
      <c r="I68" s="35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</row>
    <row r="69">
      <c r="A69" s="34"/>
      <c r="B69" s="32"/>
      <c r="C69" s="32"/>
      <c r="D69" s="32"/>
      <c r="E69" s="32"/>
      <c r="F69" s="32"/>
      <c r="G69" s="32"/>
      <c r="H69" s="9"/>
      <c r="I69" s="35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</row>
    <row r="70">
      <c r="A70" s="34"/>
      <c r="B70" s="32"/>
      <c r="C70" s="32"/>
      <c r="D70" s="32"/>
      <c r="E70" s="32"/>
      <c r="F70" s="32"/>
      <c r="G70" s="32"/>
      <c r="H70" s="9"/>
      <c r="I70" s="35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</row>
    <row r="71">
      <c r="A71" s="34"/>
      <c r="B71" s="32"/>
      <c r="C71" s="32"/>
      <c r="D71" s="32"/>
      <c r="E71" s="32"/>
      <c r="F71" s="32"/>
      <c r="G71" s="32"/>
      <c r="H71" s="9"/>
      <c r="I71" s="35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</row>
    <row r="72">
      <c r="A72" s="34"/>
      <c r="B72" s="32"/>
      <c r="C72" s="32"/>
      <c r="D72" s="32"/>
      <c r="E72" s="32"/>
      <c r="F72" s="32"/>
      <c r="G72" s="32"/>
      <c r="H72" s="9"/>
      <c r="I72" s="35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</row>
    <row r="73">
      <c r="A73" s="34"/>
      <c r="B73" s="32"/>
      <c r="C73" s="32"/>
      <c r="D73" s="32"/>
      <c r="E73" s="32"/>
      <c r="F73" s="32"/>
      <c r="G73" s="32"/>
      <c r="H73" s="9"/>
      <c r="I73" s="35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</row>
    <row r="74">
      <c r="A74" s="34"/>
      <c r="B74" s="32"/>
      <c r="C74" s="32"/>
      <c r="D74" s="32"/>
      <c r="E74" s="32"/>
      <c r="F74" s="32"/>
      <c r="G74" s="32"/>
      <c r="H74" s="9"/>
      <c r="I74" s="35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</row>
    <row r="75">
      <c r="A75" s="34"/>
      <c r="B75" s="32"/>
      <c r="C75" s="32"/>
      <c r="D75" s="32"/>
      <c r="E75" s="32"/>
      <c r="F75" s="32"/>
      <c r="G75" s="32"/>
      <c r="H75" s="9"/>
      <c r="I75" s="35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</row>
    <row r="76">
      <c r="A76" s="34"/>
      <c r="B76" s="32"/>
      <c r="C76" s="32"/>
      <c r="D76" s="32"/>
      <c r="E76" s="32"/>
      <c r="F76" s="32"/>
      <c r="G76" s="32"/>
      <c r="H76" s="9"/>
      <c r="I76" s="35"/>
      <c r="J76" s="3"/>
      <c r="K76" s="45"/>
      <c r="L76" s="45"/>
      <c r="M76" s="45"/>
      <c r="N76" s="45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</row>
    <row r="77">
      <c r="A77" s="34"/>
      <c r="B77" s="32"/>
      <c r="C77" s="32"/>
      <c r="D77" s="32"/>
      <c r="E77" s="32"/>
      <c r="F77" s="32"/>
      <c r="G77" s="32"/>
      <c r="H77" s="9"/>
      <c r="I77" s="35"/>
      <c r="J77" s="3"/>
      <c r="K77" s="45"/>
      <c r="L77" s="45"/>
      <c r="M77" s="45"/>
      <c r="N77" s="45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</row>
    <row r="78">
      <c r="A78" s="34"/>
      <c r="B78" s="32"/>
      <c r="C78" s="32"/>
      <c r="D78" s="32"/>
      <c r="E78" s="32"/>
      <c r="F78" s="32"/>
      <c r="G78" s="32"/>
      <c r="H78" s="9"/>
      <c r="I78" s="35"/>
      <c r="J78" s="3"/>
      <c r="K78" s="45"/>
      <c r="L78" s="45"/>
      <c r="M78" s="45"/>
      <c r="N78" s="45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</row>
    <row r="79">
      <c r="A79" s="34"/>
      <c r="B79" s="32"/>
      <c r="C79" s="32"/>
      <c r="D79" s="32"/>
      <c r="E79" s="32"/>
      <c r="F79" s="32"/>
      <c r="G79" s="32"/>
      <c r="H79" s="9"/>
      <c r="I79" s="35"/>
      <c r="J79" s="3"/>
      <c r="K79" s="45"/>
      <c r="L79" s="45"/>
      <c r="M79" s="45"/>
      <c r="N79" s="45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</row>
    <row r="80">
      <c r="A80" s="34"/>
      <c r="B80" s="32"/>
      <c r="C80" s="32"/>
      <c r="D80" s="32"/>
      <c r="E80" s="32"/>
      <c r="F80" s="32"/>
      <c r="G80" s="32"/>
      <c r="H80" s="9"/>
      <c r="I80" s="35"/>
      <c r="J80" s="3"/>
      <c r="K80" s="45"/>
      <c r="L80" s="45"/>
      <c r="M80" s="45"/>
      <c r="N80" s="45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</row>
    <row r="81">
      <c r="A81" s="34"/>
      <c r="B81" s="32"/>
      <c r="C81" s="32"/>
      <c r="D81" s="32"/>
      <c r="E81" s="32"/>
      <c r="F81" s="32"/>
      <c r="G81" s="32"/>
      <c r="H81" s="9"/>
      <c r="I81" s="35"/>
      <c r="J81" s="3"/>
      <c r="K81" s="45"/>
      <c r="L81" s="45"/>
      <c r="M81" s="45"/>
      <c r="N81" s="45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</row>
    <row r="82">
      <c r="A82" s="34"/>
      <c r="B82" s="32"/>
      <c r="C82" s="32"/>
      <c r="D82" s="32"/>
      <c r="E82" s="32"/>
      <c r="F82" s="32"/>
      <c r="G82" s="32"/>
      <c r="H82" s="9"/>
      <c r="I82" s="35"/>
      <c r="J82" s="3"/>
      <c r="K82" s="45"/>
      <c r="L82" s="45"/>
      <c r="M82" s="45"/>
      <c r="N82" s="45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</row>
    <row r="83">
      <c r="A83" s="34"/>
      <c r="B83" s="32"/>
      <c r="C83" s="32"/>
      <c r="D83" s="32"/>
      <c r="E83" s="32"/>
      <c r="F83" s="32"/>
      <c r="G83" s="32"/>
      <c r="H83" s="9"/>
      <c r="I83" s="35"/>
      <c r="J83" s="3"/>
      <c r="K83" s="45"/>
      <c r="L83" s="45"/>
      <c r="M83" s="45"/>
      <c r="N83" s="45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</row>
    <row r="84">
      <c r="A84" s="34"/>
      <c r="B84" s="32"/>
      <c r="C84" s="32"/>
      <c r="D84" s="32"/>
      <c r="E84" s="32"/>
      <c r="F84" s="32"/>
      <c r="G84" s="32"/>
      <c r="H84" s="9"/>
      <c r="I84" s="35"/>
      <c r="J84" s="3"/>
      <c r="K84" s="45"/>
      <c r="L84" s="45"/>
      <c r="M84" s="45"/>
      <c r="N84" s="45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</row>
    <row r="85">
      <c r="A85" s="34"/>
      <c r="B85" s="32"/>
      <c r="C85" s="32"/>
      <c r="D85" s="32"/>
      <c r="E85" s="32"/>
      <c r="F85" s="32"/>
      <c r="G85" s="32"/>
      <c r="H85" s="9"/>
      <c r="I85" s="35"/>
      <c r="J85" s="3"/>
      <c r="K85" s="45"/>
      <c r="L85" s="45"/>
      <c r="M85" s="45"/>
      <c r="N85" s="45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</row>
    <row r="86">
      <c r="A86" s="34"/>
      <c r="B86" s="32"/>
      <c r="C86" s="32"/>
      <c r="D86" s="32"/>
      <c r="E86" s="32"/>
      <c r="F86" s="32"/>
      <c r="G86" s="32"/>
      <c r="H86" s="9"/>
      <c r="I86" s="35"/>
      <c r="J86" s="3"/>
      <c r="K86" s="45"/>
      <c r="L86" s="45"/>
      <c r="M86" s="45"/>
      <c r="N86" s="45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</row>
    <row r="87">
      <c r="A87" s="34"/>
      <c r="B87" s="32"/>
      <c r="C87" s="32"/>
      <c r="D87" s="32"/>
      <c r="E87" s="32"/>
      <c r="F87" s="32"/>
      <c r="G87" s="32"/>
      <c r="H87" s="9"/>
      <c r="I87" s="35"/>
      <c r="J87" s="3"/>
      <c r="K87" s="45"/>
      <c r="L87" s="45"/>
      <c r="M87" s="45"/>
      <c r="N87" s="45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</row>
    <row r="88">
      <c r="A88" s="34"/>
      <c r="B88" s="32"/>
      <c r="C88" s="32"/>
      <c r="D88" s="32"/>
      <c r="E88" s="32"/>
      <c r="F88" s="32"/>
      <c r="G88" s="32"/>
      <c r="H88" s="9"/>
      <c r="I88" s="35"/>
      <c r="J88" s="3"/>
      <c r="K88" s="45"/>
      <c r="L88" s="45"/>
      <c r="M88" s="45"/>
      <c r="N88" s="45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</row>
    <row r="89">
      <c r="A89" s="34"/>
      <c r="B89" s="32"/>
      <c r="C89" s="32"/>
      <c r="D89" s="32"/>
      <c r="E89" s="32"/>
      <c r="F89" s="32"/>
      <c r="G89" s="32"/>
      <c r="H89" s="9"/>
      <c r="I89" s="35"/>
      <c r="J89" s="3"/>
      <c r="K89" s="45"/>
      <c r="L89" s="45"/>
      <c r="M89" s="45"/>
      <c r="N89" s="45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</row>
    <row r="90">
      <c r="A90" s="34"/>
      <c r="B90" s="32"/>
      <c r="C90" s="32"/>
      <c r="D90" s="32"/>
      <c r="E90" s="32"/>
      <c r="F90" s="32"/>
      <c r="G90" s="32"/>
      <c r="H90" s="9"/>
      <c r="I90" s="35"/>
      <c r="J90" s="3"/>
      <c r="K90" s="45"/>
      <c r="L90" s="45"/>
      <c r="M90" s="45"/>
      <c r="N90" s="45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</row>
    <row r="91">
      <c r="A91" s="34"/>
      <c r="B91" s="32"/>
      <c r="C91" s="32"/>
      <c r="D91" s="32"/>
      <c r="E91" s="32"/>
      <c r="F91" s="32"/>
      <c r="G91" s="32"/>
      <c r="H91" s="9"/>
      <c r="I91" s="35"/>
      <c r="J91" s="3"/>
      <c r="K91" s="45"/>
      <c r="L91" s="45"/>
      <c r="M91" s="45"/>
      <c r="N91" s="45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</row>
    <row r="92">
      <c r="A92" s="34"/>
      <c r="B92" s="32"/>
      <c r="C92" s="32"/>
      <c r="D92" s="32"/>
      <c r="E92" s="32"/>
      <c r="F92" s="32"/>
      <c r="G92" s="32"/>
      <c r="H92" s="9"/>
      <c r="I92" s="35"/>
      <c r="J92" s="3"/>
      <c r="K92" s="45"/>
      <c r="L92" s="45"/>
      <c r="M92" s="45"/>
      <c r="N92" s="45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</row>
    <row r="93">
      <c r="A93" s="34"/>
      <c r="B93" s="32"/>
      <c r="C93" s="32"/>
      <c r="D93" s="32"/>
      <c r="E93" s="32"/>
      <c r="F93" s="32"/>
      <c r="G93" s="32"/>
      <c r="H93" s="9"/>
      <c r="I93" s="35"/>
      <c r="J93" s="3"/>
      <c r="K93" s="45"/>
      <c r="L93" s="45"/>
      <c r="M93" s="45"/>
      <c r="N93" s="45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</row>
    <row r="94">
      <c r="A94" s="34"/>
      <c r="B94" s="32"/>
      <c r="C94" s="32"/>
      <c r="D94" s="32"/>
      <c r="E94" s="32"/>
      <c r="F94" s="32"/>
      <c r="G94" s="32"/>
      <c r="H94" s="9"/>
      <c r="I94" s="35"/>
      <c r="J94" s="3"/>
      <c r="K94" s="45"/>
      <c r="L94" s="45"/>
      <c r="M94" s="45"/>
      <c r="N94" s="45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</row>
    <row r="95">
      <c r="A95" s="34"/>
      <c r="B95" s="32"/>
      <c r="C95" s="32"/>
      <c r="D95" s="32"/>
      <c r="E95" s="32"/>
      <c r="F95" s="32"/>
      <c r="G95" s="32"/>
      <c r="H95" s="9"/>
      <c r="I95" s="35"/>
      <c r="J95" s="3"/>
      <c r="K95" s="45"/>
      <c r="L95" s="45"/>
      <c r="M95" s="45"/>
      <c r="N95" s="45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</row>
    <row r="96">
      <c r="A96" s="34"/>
      <c r="B96" s="32"/>
      <c r="C96" s="32"/>
      <c r="D96" s="32"/>
      <c r="E96" s="32"/>
      <c r="F96" s="32"/>
      <c r="G96" s="32"/>
      <c r="H96" s="9"/>
      <c r="I96" s="35"/>
      <c r="J96" s="3"/>
      <c r="K96" s="45"/>
      <c r="L96" s="45"/>
      <c r="M96" s="45"/>
      <c r="N96" s="45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</row>
    <row r="97">
      <c r="A97" s="34"/>
      <c r="B97" s="32"/>
      <c r="C97" s="32"/>
      <c r="D97" s="32"/>
      <c r="E97" s="32"/>
      <c r="F97" s="32"/>
      <c r="G97" s="32"/>
      <c r="H97" s="9"/>
      <c r="I97" s="35"/>
      <c r="J97" s="3"/>
      <c r="K97" s="45"/>
      <c r="L97" s="45"/>
      <c r="M97" s="45"/>
      <c r="N97" s="45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</row>
    <row r="98">
      <c r="A98" s="34"/>
      <c r="B98" s="32"/>
      <c r="C98" s="32"/>
      <c r="D98" s="32"/>
      <c r="E98" s="32"/>
      <c r="F98" s="32"/>
      <c r="G98" s="32"/>
      <c r="H98" s="9"/>
      <c r="I98" s="35"/>
      <c r="J98" s="3"/>
      <c r="K98" s="45"/>
      <c r="L98" s="45"/>
      <c r="M98" s="45"/>
      <c r="N98" s="45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</row>
    <row r="99">
      <c r="A99" s="34"/>
      <c r="B99" s="32"/>
      <c r="C99" s="32"/>
      <c r="D99" s="32"/>
      <c r="E99" s="32"/>
      <c r="F99" s="32"/>
      <c r="G99" s="32"/>
      <c r="H99" s="9"/>
      <c r="I99" s="35"/>
      <c r="J99" s="3"/>
      <c r="K99" s="45"/>
      <c r="L99" s="45"/>
      <c r="M99" s="45"/>
      <c r="N99" s="45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</row>
    <row r="100">
      <c r="A100" s="34"/>
      <c r="B100" s="32"/>
      <c r="C100" s="32"/>
      <c r="D100" s="32"/>
      <c r="E100" s="32"/>
      <c r="F100" s="32"/>
      <c r="G100" s="32"/>
      <c r="H100" s="9"/>
      <c r="I100" s="35"/>
      <c r="J100" s="3"/>
      <c r="K100" s="45"/>
      <c r="L100" s="45"/>
      <c r="M100" s="45"/>
      <c r="N100" s="45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</row>
    <row r="101">
      <c r="A101" s="34"/>
      <c r="B101" s="32"/>
      <c r="C101" s="32"/>
      <c r="D101" s="32"/>
      <c r="E101" s="32"/>
      <c r="F101" s="32"/>
      <c r="G101" s="32"/>
      <c r="H101" s="9"/>
      <c r="I101" s="35"/>
      <c r="J101" s="3"/>
      <c r="K101" s="45"/>
      <c r="L101" s="45"/>
      <c r="M101" s="45"/>
      <c r="N101" s="45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</row>
    <row r="102">
      <c r="A102" s="34"/>
      <c r="B102" s="32"/>
      <c r="C102" s="32"/>
      <c r="D102" s="32"/>
      <c r="E102" s="32"/>
      <c r="F102" s="32"/>
      <c r="G102" s="32"/>
      <c r="H102" s="9"/>
      <c r="I102" s="35"/>
      <c r="J102" s="3"/>
      <c r="K102" s="45"/>
      <c r="L102" s="45"/>
      <c r="M102" s="45"/>
      <c r="N102" s="45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</row>
    <row r="103">
      <c r="A103" s="34"/>
      <c r="B103" s="32"/>
      <c r="C103" s="32"/>
      <c r="D103" s="32"/>
      <c r="E103" s="32"/>
      <c r="F103" s="32"/>
      <c r="G103" s="32"/>
      <c r="H103" s="9"/>
      <c r="I103" s="35"/>
      <c r="J103" s="3"/>
      <c r="K103" s="45"/>
      <c r="L103" s="45"/>
      <c r="M103" s="45"/>
      <c r="N103" s="45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</row>
    <row r="104">
      <c r="A104" s="34"/>
      <c r="B104" s="32"/>
      <c r="C104" s="32"/>
      <c r="D104" s="32"/>
      <c r="E104" s="32"/>
      <c r="F104" s="32"/>
      <c r="G104" s="32"/>
      <c r="H104" s="9"/>
      <c r="I104" s="35"/>
      <c r="J104" s="3"/>
      <c r="K104" s="45"/>
      <c r="L104" s="45"/>
      <c r="M104" s="45"/>
      <c r="N104" s="45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</row>
    <row r="105">
      <c r="A105" s="34"/>
      <c r="B105" s="32"/>
      <c r="C105" s="32"/>
      <c r="D105" s="32"/>
      <c r="E105" s="32"/>
      <c r="F105" s="32"/>
      <c r="G105" s="32"/>
      <c r="H105" s="9"/>
      <c r="I105" s="35"/>
      <c r="J105" s="3"/>
      <c r="K105" s="45"/>
      <c r="L105" s="45"/>
      <c r="M105" s="45"/>
      <c r="N105" s="45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</row>
    <row r="106">
      <c r="A106" s="34"/>
      <c r="B106" s="32"/>
      <c r="C106" s="32"/>
      <c r="D106" s="32"/>
      <c r="E106" s="32"/>
      <c r="F106" s="32"/>
      <c r="G106" s="32"/>
      <c r="H106" s="9"/>
      <c r="I106" s="35"/>
      <c r="J106" s="3"/>
      <c r="K106" s="45"/>
      <c r="L106" s="45"/>
      <c r="M106" s="45"/>
      <c r="N106" s="45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</row>
    <row r="107">
      <c r="A107" s="34"/>
      <c r="B107" s="32"/>
      <c r="C107" s="32"/>
      <c r="D107" s="32"/>
      <c r="E107" s="32"/>
      <c r="F107" s="32"/>
      <c r="G107" s="32"/>
      <c r="H107" s="9"/>
      <c r="I107" s="35"/>
      <c r="J107" s="3"/>
      <c r="K107" s="45"/>
      <c r="L107" s="45"/>
      <c r="M107" s="45"/>
      <c r="N107" s="45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</row>
    <row r="108">
      <c r="A108" s="34"/>
      <c r="B108" s="32"/>
      <c r="C108" s="32"/>
      <c r="D108" s="32"/>
      <c r="E108" s="32"/>
      <c r="F108" s="32"/>
      <c r="G108" s="32"/>
      <c r="H108" s="9"/>
      <c r="I108" s="35"/>
      <c r="J108" s="3"/>
      <c r="K108" s="45"/>
      <c r="L108" s="45"/>
      <c r="M108" s="45"/>
      <c r="N108" s="45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</row>
    <row r="109">
      <c r="A109" s="34"/>
      <c r="B109" s="32"/>
      <c r="C109" s="32"/>
      <c r="D109" s="32"/>
      <c r="E109" s="32"/>
      <c r="F109" s="32"/>
      <c r="G109" s="32"/>
      <c r="H109" s="9"/>
      <c r="I109" s="35"/>
      <c r="J109" s="3"/>
      <c r="K109" s="45"/>
      <c r="L109" s="45"/>
      <c r="M109" s="45"/>
      <c r="N109" s="45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</row>
    <row r="110">
      <c r="A110" s="34"/>
      <c r="B110" s="32"/>
      <c r="C110" s="32"/>
      <c r="D110" s="32"/>
      <c r="E110" s="32"/>
      <c r="F110" s="32"/>
      <c r="G110" s="32"/>
      <c r="H110" s="9"/>
      <c r="I110" s="35"/>
      <c r="J110" s="3"/>
      <c r="K110" s="45"/>
      <c r="L110" s="45"/>
      <c r="M110" s="45"/>
      <c r="N110" s="45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</row>
    <row r="111">
      <c r="A111" s="34"/>
      <c r="B111" s="32"/>
      <c r="C111" s="32"/>
      <c r="D111" s="32"/>
      <c r="E111" s="32"/>
      <c r="F111" s="32"/>
      <c r="G111" s="32"/>
      <c r="H111" s="9"/>
      <c r="I111" s="35"/>
      <c r="J111" s="3"/>
      <c r="K111" s="45"/>
      <c r="L111" s="45"/>
      <c r="M111" s="45"/>
      <c r="N111" s="45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</row>
    <row r="112">
      <c r="A112" s="34"/>
      <c r="B112" s="32"/>
      <c r="C112" s="32"/>
      <c r="D112" s="32"/>
      <c r="E112" s="32"/>
      <c r="F112" s="32"/>
      <c r="G112" s="32"/>
      <c r="H112" s="9"/>
      <c r="I112" s="35"/>
      <c r="J112" s="3"/>
      <c r="K112" s="45"/>
      <c r="L112" s="45"/>
      <c r="M112" s="45"/>
      <c r="N112" s="45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</row>
    <row r="113">
      <c r="A113" s="34"/>
      <c r="B113" s="32"/>
      <c r="C113" s="32"/>
      <c r="D113" s="32"/>
      <c r="E113" s="32"/>
      <c r="F113" s="32"/>
      <c r="G113" s="32"/>
      <c r="H113" s="9"/>
      <c r="I113" s="35"/>
      <c r="J113" s="3"/>
      <c r="K113" s="45"/>
      <c r="L113" s="45"/>
      <c r="M113" s="45"/>
      <c r="N113" s="45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</row>
    <row r="114">
      <c r="A114" s="34"/>
      <c r="B114" s="32"/>
      <c r="C114" s="32"/>
      <c r="D114" s="32"/>
      <c r="E114" s="32"/>
      <c r="F114" s="32"/>
      <c r="G114" s="32"/>
      <c r="H114" s="9"/>
      <c r="I114" s="35"/>
      <c r="J114" s="3"/>
      <c r="K114" s="45"/>
      <c r="L114" s="45"/>
      <c r="M114" s="45"/>
      <c r="N114" s="45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</row>
    <row r="115">
      <c r="A115" s="34"/>
      <c r="B115" s="32"/>
      <c r="C115" s="32"/>
      <c r="D115" s="32"/>
      <c r="E115" s="32"/>
      <c r="F115" s="32"/>
      <c r="G115" s="32"/>
      <c r="H115" s="9"/>
      <c r="I115" s="35"/>
      <c r="J115" s="3"/>
      <c r="K115" s="45"/>
      <c r="L115" s="45"/>
      <c r="M115" s="45"/>
      <c r="N115" s="45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</row>
    <row r="116">
      <c r="A116" s="34"/>
      <c r="B116" s="32"/>
      <c r="C116" s="32"/>
      <c r="D116" s="32"/>
      <c r="E116" s="32"/>
      <c r="F116" s="32"/>
      <c r="G116" s="32"/>
      <c r="H116" s="9"/>
      <c r="I116" s="35"/>
      <c r="J116" s="3"/>
      <c r="K116" s="45"/>
      <c r="L116" s="45"/>
      <c r="M116" s="45"/>
      <c r="N116" s="45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</row>
    <row r="117">
      <c r="A117" s="34"/>
      <c r="B117" s="32"/>
      <c r="C117" s="32"/>
      <c r="D117" s="32"/>
      <c r="E117" s="32"/>
      <c r="F117" s="32"/>
      <c r="G117" s="32"/>
      <c r="H117" s="9"/>
      <c r="I117" s="35"/>
      <c r="J117" s="3"/>
      <c r="K117" s="45"/>
      <c r="L117" s="45"/>
      <c r="M117" s="45"/>
      <c r="N117" s="45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</row>
    <row r="118">
      <c r="A118" s="34"/>
      <c r="B118" s="32"/>
      <c r="C118" s="32"/>
      <c r="D118" s="32"/>
      <c r="E118" s="32"/>
      <c r="F118" s="32"/>
      <c r="G118" s="32"/>
      <c r="H118" s="9"/>
      <c r="I118" s="35"/>
      <c r="J118" s="3"/>
      <c r="K118" s="45"/>
      <c r="L118" s="45"/>
      <c r="M118" s="45"/>
      <c r="N118" s="45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</row>
    <row r="119">
      <c r="A119" s="34"/>
      <c r="B119" s="32"/>
      <c r="C119" s="32"/>
      <c r="D119" s="32"/>
      <c r="E119" s="32"/>
      <c r="F119" s="32"/>
      <c r="G119" s="32"/>
      <c r="H119" s="9"/>
      <c r="I119" s="35"/>
      <c r="J119" s="3"/>
      <c r="K119" s="45"/>
      <c r="L119" s="45"/>
      <c r="M119" s="45"/>
      <c r="N119" s="45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</row>
    <row r="120">
      <c r="A120" s="34"/>
      <c r="B120" s="32"/>
      <c r="C120" s="32"/>
      <c r="D120" s="32"/>
      <c r="E120" s="32"/>
      <c r="F120" s="32"/>
      <c r="G120" s="32"/>
      <c r="H120" s="9"/>
      <c r="I120" s="35"/>
      <c r="J120" s="3"/>
      <c r="K120" s="45"/>
      <c r="L120" s="45"/>
      <c r="M120" s="45"/>
      <c r="N120" s="45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</row>
    <row r="121">
      <c r="A121" s="34"/>
      <c r="B121" s="32"/>
      <c r="C121" s="32"/>
      <c r="D121" s="32"/>
      <c r="E121" s="32"/>
      <c r="F121" s="32"/>
      <c r="G121" s="32"/>
      <c r="H121" s="9"/>
      <c r="I121" s="35"/>
      <c r="J121" s="3"/>
      <c r="K121" s="45"/>
      <c r="L121" s="45"/>
      <c r="M121" s="45"/>
      <c r="N121" s="45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</row>
    <row r="122">
      <c r="A122" s="34"/>
      <c r="B122" s="32"/>
      <c r="C122" s="32"/>
      <c r="D122" s="32"/>
      <c r="E122" s="32"/>
      <c r="F122" s="32"/>
      <c r="G122" s="32"/>
      <c r="H122" s="9"/>
      <c r="I122" s="35"/>
      <c r="J122" s="3"/>
      <c r="K122" s="45"/>
      <c r="L122" s="45"/>
      <c r="M122" s="45"/>
      <c r="N122" s="45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</row>
    <row r="123">
      <c r="A123" s="34"/>
      <c r="B123" s="32"/>
      <c r="C123" s="32"/>
      <c r="D123" s="32"/>
      <c r="E123" s="32"/>
      <c r="F123" s="32"/>
      <c r="G123" s="32"/>
      <c r="H123" s="9"/>
      <c r="I123" s="35"/>
      <c r="J123" s="3"/>
      <c r="K123" s="45"/>
      <c r="L123" s="45"/>
      <c r="M123" s="45"/>
      <c r="N123" s="45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</row>
    <row r="124">
      <c r="A124" s="34"/>
      <c r="B124" s="32"/>
      <c r="C124" s="32"/>
      <c r="D124" s="32"/>
      <c r="E124" s="32"/>
      <c r="F124" s="32"/>
      <c r="G124" s="32"/>
      <c r="H124" s="9"/>
      <c r="I124" s="35"/>
      <c r="J124" s="3"/>
      <c r="K124" s="45"/>
      <c r="L124" s="45"/>
      <c r="M124" s="45"/>
      <c r="N124" s="45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</row>
    <row r="125">
      <c r="A125" s="34"/>
      <c r="B125" s="32"/>
      <c r="C125" s="32"/>
      <c r="D125" s="32"/>
      <c r="E125" s="32"/>
      <c r="F125" s="32"/>
      <c r="G125" s="32"/>
      <c r="H125" s="9"/>
      <c r="I125" s="35"/>
      <c r="J125" s="3"/>
      <c r="K125" s="45"/>
      <c r="L125" s="45"/>
      <c r="M125" s="45"/>
      <c r="N125" s="45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</row>
    <row r="126">
      <c r="A126" s="34"/>
      <c r="B126" s="32"/>
      <c r="C126" s="32"/>
      <c r="D126" s="32"/>
      <c r="E126" s="32"/>
      <c r="F126" s="32"/>
      <c r="G126" s="32"/>
      <c r="H126" s="9"/>
      <c r="I126" s="35"/>
      <c r="J126" s="3"/>
      <c r="K126" s="45"/>
      <c r="L126" s="45"/>
      <c r="M126" s="45"/>
      <c r="N126" s="45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</row>
    <row r="127">
      <c r="A127" s="34"/>
      <c r="B127" s="32"/>
      <c r="C127" s="32"/>
      <c r="D127" s="32"/>
      <c r="E127" s="32"/>
      <c r="F127" s="32"/>
      <c r="G127" s="32"/>
      <c r="H127" s="9"/>
      <c r="I127" s="35"/>
      <c r="J127" s="3"/>
      <c r="K127" s="45"/>
      <c r="L127" s="45"/>
      <c r="M127" s="45"/>
      <c r="N127" s="45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</row>
    <row r="128">
      <c r="A128" s="34"/>
      <c r="B128" s="32"/>
      <c r="C128" s="32"/>
      <c r="D128" s="32"/>
      <c r="E128" s="32"/>
      <c r="F128" s="32"/>
      <c r="G128" s="32"/>
      <c r="H128" s="9"/>
      <c r="I128" s="35"/>
      <c r="J128" s="3"/>
      <c r="K128" s="45"/>
      <c r="L128" s="45"/>
      <c r="M128" s="45"/>
      <c r="N128" s="45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</row>
    <row r="129">
      <c r="A129" s="34"/>
      <c r="B129" s="32"/>
      <c r="C129" s="32"/>
      <c r="D129" s="32"/>
      <c r="E129" s="32"/>
      <c r="F129" s="32"/>
      <c r="G129" s="32"/>
      <c r="H129" s="9"/>
      <c r="I129" s="35"/>
      <c r="J129" s="3"/>
      <c r="K129" s="45"/>
      <c r="L129" s="45"/>
      <c r="M129" s="45"/>
      <c r="N129" s="45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</row>
    <row r="130">
      <c r="A130" s="34"/>
      <c r="B130" s="32"/>
      <c r="C130" s="32"/>
      <c r="D130" s="32"/>
      <c r="E130" s="32"/>
      <c r="F130" s="32"/>
      <c r="G130" s="32"/>
      <c r="H130" s="9"/>
      <c r="I130" s="35"/>
      <c r="J130" s="3"/>
      <c r="K130" s="45"/>
      <c r="L130" s="45"/>
      <c r="M130" s="45"/>
      <c r="N130" s="45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</row>
    <row r="131">
      <c r="A131" s="34"/>
      <c r="B131" s="32"/>
      <c r="C131" s="32"/>
      <c r="D131" s="32"/>
      <c r="E131" s="32"/>
      <c r="F131" s="32"/>
      <c r="G131" s="32"/>
      <c r="H131" s="9"/>
      <c r="I131" s="35"/>
      <c r="J131" s="3"/>
      <c r="K131" s="45"/>
      <c r="L131" s="45"/>
      <c r="M131" s="45"/>
      <c r="N131" s="45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</row>
    <row r="132">
      <c r="A132" s="34"/>
      <c r="B132" s="32"/>
      <c r="C132" s="32"/>
      <c r="D132" s="32"/>
      <c r="E132" s="32"/>
      <c r="F132" s="32"/>
      <c r="G132" s="32"/>
      <c r="H132" s="9"/>
      <c r="I132" s="35"/>
      <c r="J132" s="3"/>
      <c r="K132" s="45"/>
      <c r="L132" s="45"/>
      <c r="M132" s="45"/>
      <c r="N132" s="45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</row>
    <row r="133">
      <c r="A133" s="34"/>
      <c r="B133" s="32"/>
      <c r="C133" s="32"/>
      <c r="D133" s="32"/>
      <c r="E133" s="32"/>
      <c r="F133" s="32"/>
      <c r="G133" s="32"/>
      <c r="H133" s="9"/>
      <c r="I133" s="35"/>
      <c r="J133" s="3"/>
      <c r="K133" s="45"/>
      <c r="L133" s="45"/>
      <c r="M133" s="45"/>
      <c r="N133" s="45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</row>
    <row r="134">
      <c r="A134" s="34"/>
      <c r="B134" s="32"/>
      <c r="C134" s="32"/>
      <c r="D134" s="32"/>
      <c r="E134" s="32"/>
      <c r="F134" s="32"/>
      <c r="G134" s="32"/>
      <c r="H134" s="9"/>
      <c r="I134" s="35"/>
      <c r="J134" s="3"/>
      <c r="K134" s="45"/>
      <c r="L134" s="45"/>
      <c r="M134" s="45"/>
      <c r="N134" s="45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</row>
    <row r="135">
      <c r="A135" s="34"/>
      <c r="B135" s="32"/>
      <c r="C135" s="32"/>
      <c r="D135" s="32"/>
      <c r="E135" s="32"/>
      <c r="F135" s="32"/>
      <c r="G135" s="32"/>
      <c r="H135" s="9"/>
      <c r="I135" s="35"/>
      <c r="J135" s="3"/>
      <c r="K135" s="45"/>
      <c r="L135" s="45"/>
      <c r="M135" s="45"/>
      <c r="N135" s="45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</row>
    <row r="136">
      <c r="A136" s="34"/>
      <c r="B136" s="32"/>
      <c r="C136" s="32"/>
      <c r="D136" s="32"/>
      <c r="E136" s="32"/>
      <c r="F136" s="32"/>
      <c r="G136" s="32"/>
      <c r="H136" s="9"/>
      <c r="I136" s="35"/>
      <c r="J136" s="3"/>
      <c r="K136" s="45"/>
      <c r="L136" s="45"/>
      <c r="M136" s="45"/>
      <c r="N136" s="45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</row>
    <row r="137">
      <c r="A137" s="34"/>
      <c r="B137" s="32"/>
      <c r="C137" s="32"/>
      <c r="D137" s="32"/>
      <c r="E137" s="32"/>
      <c r="F137" s="32"/>
      <c r="G137" s="32"/>
      <c r="H137" s="9"/>
      <c r="I137" s="35"/>
      <c r="J137" s="3"/>
      <c r="K137" s="45"/>
      <c r="L137" s="45"/>
      <c r="M137" s="45"/>
      <c r="N137" s="45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</row>
    <row r="138">
      <c r="A138" s="34"/>
      <c r="B138" s="32"/>
      <c r="C138" s="32"/>
      <c r="D138" s="32"/>
      <c r="E138" s="32"/>
      <c r="F138" s="32"/>
      <c r="G138" s="32"/>
      <c r="H138" s="9"/>
      <c r="I138" s="35"/>
      <c r="J138" s="3"/>
      <c r="K138" s="45"/>
      <c r="L138" s="45"/>
      <c r="M138" s="45"/>
      <c r="N138" s="45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</row>
    <row r="139">
      <c r="A139" s="34"/>
      <c r="B139" s="32"/>
      <c r="C139" s="32"/>
      <c r="D139" s="32"/>
      <c r="E139" s="32"/>
      <c r="F139" s="32"/>
      <c r="G139" s="32"/>
      <c r="H139" s="9"/>
      <c r="I139" s="35"/>
      <c r="J139" s="3"/>
      <c r="K139" s="45"/>
      <c r="L139" s="45"/>
      <c r="M139" s="45"/>
      <c r="N139" s="45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</row>
    <row r="140">
      <c r="A140" s="34"/>
      <c r="B140" s="32"/>
      <c r="C140" s="32"/>
      <c r="D140" s="32"/>
      <c r="E140" s="32"/>
      <c r="F140" s="32"/>
      <c r="G140" s="32"/>
      <c r="H140" s="9"/>
      <c r="I140" s="35"/>
      <c r="J140" s="3"/>
      <c r="K140" s="45"/>
      <c r="L140" s="45"/>
      <c r="M140" s="45"/>
      <c r="N140" s="45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</row>
    <row r="141">
      <c r="A141" s="34"/>
      <c r="B141" s="32"/>
      <c r="C141" s="32"/>
      <c r="D141" s="32"/>
      <c r="E141" s="32"/>
      <c r="F141" s="32"/>
      <c r="G141" s="32"/>
      <c r="H141" s="9"/>
      <c r="I141" s="35"/>
      <c r="J141" s="3"/>
      <c r="K141" s="45"/>
      <c r="L141" s="45"/>
      <c r="M141" s="45"/>
      <c r="N141" s="45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</row>
    <row r="142">
      <c r="A142" s="34"/>
      <c r="B142" s="32"/>
      <c r="C142" s="32"/>
      <c r="D142" s="32"/>
      <c r="E142" s="32"/>
      <c r="F142" s="32"/>
      <c r="G142" s="32"/>
      <c r="H142" s="9"/>
      <c r="I142" s="35"/>
      <c r="J142" s="3"/>
      <c r="K142" s="45"/>
      <c r="L142" s="45"/>
      <c r="M142" s="45"/>
      <c r="N142" s="45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</row>
    <row r="143">
      <c r="A143" s="34"/>
      <c r="B143" s="32"/>
      <c r="C143" s="32"/>
      <c r="D143" s="32"/>
      <c r="E143" s="32"/>
      <c r="F143" s="32"/>
      <c r="G143" s="32"/>
      <c r="H143" s="9"/>
      <c r="I143" s="35"/>
      <c r="J143" s="3"/>
      <c r="K143" s="45"/>
      <c r="L143" s="45"/>
      <c r="M143" s="45"/>
      <c r="N143" s="45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</row>
    <row r="144">
      <c r="A144" s="34"/>
      <c r="B144" s="32"/>
      <c r="C144" s="32"/>
      <c r="D144" s="32"/>
      <c r="E144" s="32"/>
      <c r="F144" s="32"/>
      <c r="G144" s="32"/>
      <c r="H144" s="9"/>
      <c r="I144" s="35"/>
      <c r="J144" s="3"/>
      <c r="K144" s="45"/>
      <c r="L144" s="45"/>
      <c r="M144" s="45"/>
      <c r="N144" s="45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</row>
    <row r="145">
      <c r="A145" s="34"/>
      <c r="B145" s="32"/>
      <c r="C145" s="32"/>
      <c r="D145" s="32"/>
      <c r="E145" s="32"/>
      <c r="F145" s="32"/>
      <c r="G145" s="32"/>
      <c r="H145" s="9"/>
      <c r="I145" s="35"/>
      <c r="J145" s="3"/>
      <c r="K145" s="45"/>
      <c r="L145" s="45"/>
      <c r="M145" s="45"/>
      <c r="N145" s="45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</row>
    <row r="146">
      <c r="A146" s="34"/>
      <c r="B146" s="32"/>
      <c r="C146" s="32"/>
      <c r="D146" s="32"/>
      <c r="E146" s="32"/>
      <c r="F146" s="32"/>
      <c r="G146" s="32"/>
      <c r="H146" s="9"/>
      <c r="I146" s="35"/>
      <c r="J146" s="3"/>
      <c r="K146" s="45"/>
      <c r="L146" s="45"/>
      <c r="M146" s="45"/>
      <c r="N146" s="45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</row>
    <row r="147">
      <c r="A147" s="34"/>
      <c r="B147" s="32"/>
      <c r="C147" s="32"/>
      <c r="D147" s="32"/>
      <c r="E147" s="32"/>
      <c r="F147" s="32"/>
      <c r="G147" s="32"/>
      <c r="H147" s="9"/>
      <c r="I147" s="35"/>
      <c r="J147" s="3"/>
      <c r="K147" s="45"/>
      <c r="L147" s="45"/>
      <c r="M147" s="45"/>
      <c r="N147" s="45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</row>
    <row r="148">
      <c r="A148" s="34"/>
      <c r="B148" s="32"/>
      <c r="C148" s="32"/>
      <c r="D148" s="32"/>
      <c r="E148" s="32"/>
      <c r="F148" s="32"/>
      <c r="G148" s="32"/>
      <c r="H148" s="9"/>
      <c r="I148" s="35"/>
      <c r="J148" s="3"/>
      <c r="K148" s="45"/>
      <c r="L148" s="45"/>
      <c r="M148" s="45"/>
      <c r="N148" s="45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</row>
    <row r="149">
      <c r="A149" s="34"/>
      <c r="B149" s="32"/>
      <c r="C149" s="32"/>
      <c r="D149" s="32"/>
      <c r="E149" s="32"/>
      <c r="F149" s="32"/>
      <c r="G149" s="32"/>
      <c r="H149" s="9"/>
      <c r="I149" s="35"/>
      <c r="J149" s="3"/>
      <c r="K149" s="45"/>
      <c r="L149" s="45"/>
      <c r="M149" s="45"/>
      <c r="N149" s="45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</row>
    <row r="150">
      <c r="A150" s="34"/>
      <c r="B150" s="32"/>
      <c r="C150" s="32"/>
      <c r="D150" s="32"/>
      <c r="E150" s="32"/>
      <c r="F150" s="32"/>
      <c r="G150" s="32"/>
      <c r="H150" s="9"/>
      <c r="I150" s="35"/>
      <c r="J150" s="3"/>
      <c r="K150" s="45"/>
      <c r="L150" s="45"/>
      <c r="M150" s="45"/>
      <c r="N150" s="45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</row>
    <row r="151">
      <c r="A151" s="34"/>
      <c r="B151" s="32"/>
      <c r="C151" s="32"/>
      <c r="D151" s="32"/>
      <c r="E151" s="32"/>
      <c r="F151" s="32"/>
      <c r="G151" s="32"/>
      <c r="H151" s="9"/>
      <c r="I151" s="35"/>
      <c r="J151" s="3"/>
      <c r="K151" s="45"/>
      <c r="L151" s="45"/>
      <c r="M151" s="45"/>
      <c r="N151" s="45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</row>
    <row r="152">
      <c r="A152" s="34"/>
      <c r="B152" s="32"/>
      <c r="C152" s="32"/>
      <c r="D152" s="32"/>
      <c r="E152" s="32"/>
      <c r="F152" s="32"/>
      <c r="G152" s="32"/>
      <c r="H152" s="9"/>
      <c r="I152" s="35"/>
      <c r="J152" s="3"/>
      <c r="K152" s="45"/>
      <c r="L152" s="45"/>
      <c r="M152" s="45"/>
      <c r="N152" s="45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</row>
    <row r="153">
      <c r="A153" s="34"/>
      <c r="B153" s="32"/>
      <c r="C153" s="32"/>
      <c r="D153" s="32"/>
      <c r="E153" s="32"/>
      <c r="F153" s="32"/>
      <c r="G153" s="32"/>
      <c r="H153" s="9"/>
      <c r="I153" s="35"/>
      <c r="J153" s="3"/>
      <c r="K153" s="45"/>
      <c r="L153" s="45"/>
      <c r="M153" s="45"/>
      <c r="N153" s="45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</row>
  </sheetData>
  <mergeCells count="59">
    <mergeCell ref="M13:V13"/>
    <mergeCell ref="AC13:AL13"/>
    <mergeCell ref="D14:E14"/>
    <mergeCell ref="M14:V14"/>
    <mergeCell ref="AC14:AL14"/>
    <mergeCell ref="B21:I22"/>
    <mergeCell ref="J21:Y21"/>
    <mergeCell ref="J30:Y30"/>
    <mergeCell ref="M31:V31"/>
    <mergeCell ref="D32:E32"/>
    <mergeCell ref="M32:V32"/>
    <mergeCell ref="B39:I40"/>
    <mergeCell ref="B41:H41"/>
    <mergeCell ref="B42:H44"/>
    <mergeCell ref="AC31:AL31"/>
    <mergeCell ref="AS31:BB31"/>
    <mergeCell ref="AC32:AL32"/>
    <mergeCell ref="AS32:BB32"/>
    <mergeCell ref="BI32:BR32"/>
    <mergeCell ref="D23:E23"/>
    <mergeCell ref="M23:V23"/>
    <mergeCell ref="AC23:AL23"/>
    <mergeCell ref="B30:I31"/>
    <mergeCell ref="Z30:AO30"/>
    <mergeCell ref="AP30:BE30"/>
    <mergeCell ref="BF30:BU30"/>
    <mergeCell ref="BI31:BR31"/>
    <mergeCell ref="AS4:BB4"/>
    <mergeCell ref="BI4:BR4"/>
    <mergeCell ref="AC5:AL5"/>
    <mergeCell ref="AS5:BB5"/>
    <mergeCell ref="B3:C4"/>
    <mergeCell ref="J3:Y3"/>
    <mergeCell ref="Z3:AO3"/>
    <mergeCell ref="AP3:BE3"/>
    <mergeCell ref="BF3:BU3"/>
    <mergeCell ref="AC4:AL4"/>
    <mergeCell ref="D5:E5"/>
    <mergeCell ref="BI5:BR5"/>
    <mergeCell ref="AS13:BB13"/>
    <mergeCell ref="BI13:BR13"/>
    <mergeCell ref="AS14:BB14"/>
    <mergeCell ref="BI14:BR14"/>
    <mergeCell ref="M4:V4"/>
    <mergeCell ref="M5:V5"/>
    <mergeCell ref="B12:I13"/>
    <mergeCell ref="J12:Y12"/>
    <mergeCell ref="Z12:AO12"/>
    <mergeCell ref="AP12:BE12"/>
    <mergeCell ref="BF12:BU12"/>
    <mergeCell ref="Z21:AO21"/>
    <mergeCell ref="AP21:BE21"/>
    <mergeCell ref="BF21:BU21"/>
    <mergeCell ref="M22:V22"/>
    <mergeCell ref="AC22:AL22"/>
    <mergeCell ref="AS22:BB22"/>
    <mergeCell ref="BI22:BR22"/>
    <mergeCell ref="AS23:BB23"/>
    <mergeCell ref="BI23:BR23"/>
  </mergeCells>
  <conditionalFormatting sqref="J3:Y38 AA6:AA11 AQ6:AQ11 BG6:BG11 AA15:AA20 AQ15:AQ20 BG15:BG20 AA24:AA29 AQ24:AQ29 BG24:BG29 AA33:AA38 AQ33:AQ38 BG33:BG38">
    <cfRule type="expression" dxfId="0" priority="1">
      <formula>AND(COLUMN($M$6)&lt;=COLUMN(),COLUMN()&lt;COLUMN($M$6)+INDEX($1:$1048342,ROW(),COLUMN($K$6)))</formula>
    </cfRule>
  </conditionalFormatting>
  <conditionalFormatting sqref="Z3:BU38">
    <cfRule type="expression" dxfId="0" priority="2">
      <formula>AND(COLUMN($AC$6)&lt;=COLUMN(),COLUMN()&lt;COLUMN($AC$6)+INDEX($1:$1048342,ROW(),COLUMN($AA$6)))</formula>
    </cfRule>
  </conditionalFormatting>
  <conditionalFormatting sqref="AP3:BU38">
    <cfRule type="expression" dxfId="0" priority="3">
      <formula>AND(COLUMN($AS$6)&lt;=COLUMN(),COLUMN()&lt;COLUMN($AS$6)+INDEX($1:$1048342,ROW(),COLUMN($AQ$6)))</formula>
    </cfRule>
  </conditionalFormatting>
  <conditionalFormatting sqref="BF3:BU38">
    <cfRule type="expression" dxfId="0" priority="4">
      <formula>AND(COLUMN($BI6)&lt;=COLUMN(),COLUMN()&lt;COLUMN($BI$6)+INDEX($1:$1048342,ROW(),COLUMN($BG$6)))</formula>
    </cfRule>
  </conditionalFormatting>
  <dataValidations>
    <dataValidation type="list" allowBlank="1" showErrorMessage="1" sqref="H6:H11 H15:H20 H24:H29 H33:H38">
      <formula1>"Moderate,Low"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11.22"/>
    <col customWidth="1" min="2" max="2" width="27.89"/>
    <col customWidth="1" min="3" max="8" width="13.44"/>
    <col customWidth="1" min="9" max="9" width="27.89"/>
    <col customWidth="1" min="10" max="19" width="6.78"/>
    <col customWidth="1" hidden="1" min="20" max="44" width="6.78"/>
    <col customWidth="1" min="45" max="45" width="6.78"/>
    <col customWidth="1" min="46" max="46" width="27.89"/>
    <col customWidth="1" min="47" max="49" width="6.78"/>
    <col customWidth="1" hidden="1" min="50" max="50" width="6.78"/>
    <col customWidth="1" min="51" max="56" width="6.78"/>
    <col customWidth="1" hidden="1" min="57" max="81" width="6.78"/>
    <col customWidth="1" min="82" max="82" width="6.78"/>
    <col customWidth="1" min="83" max="83" width="27.89"/>
    <col customWidth="1" min="84" max="86" width="6.78"/>
    <col customWidth="1" hidden="1" min="87" max="87" width="6.78"/>
    <col customWidth="1" min="88" max="93" width="6.78"/>
    <col customWidth="1" hidden="1" min="94" max="118" width="6.78"/>
    <col customWidth="1" min="119" max="119" width="6.78"/>
    <col customWidth="1" min="120" max="120" width="27.89"/>
    <col customWidth="1" min="121" max="123" width="6.78"/>
    <col customWidth="1" hidden="1" min="124" max="124" width="6.78"/>
    <col customWidth="1" min="125" max="130" width="6.78"/>
    <col customWidth="1" hidden="1" min="131" max="155" width="6.78"/>
    <col customWidth="1" min="156" max="157" width="6.78"/>
  </cols>
  <sheetData>
    <row r="3">
      <c r="A3" s="13"/>
      <c r="B3" s="3"/>
      <c r="D3" s="3"/>
      <c r="E3" s="3"/>
      <c r="F3" s="3"/>
      <c r="G3" s="3"/>
      <c r="H3" s="3"/>
      <c r="I3" s="15" t="s">
        <v>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8"/>
      <c r="AT3" s="46" t="str">
        <f>CONCATENATE("Week ",RIGHT(I3,2)+1)</f>
        <v>Week 2</v>
      </c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8"/>
      <c r="CE3" s="46" t="str">
        <f>CONCATENATE("Week ",RIGHT(AT3,2)+1)</f>
        <v>Week 3</v>
      </c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8"/>
      <c r="DP3" s="46" t="str">
        <f>CONCATENATE("Week ",RIGHT(CE3,2)+1)</f>
        <v>Week 4</v>
      </c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8"/>
      <c r="FA3" s="47"/>
    </row>
    <row r="4">
      <c r="A4" s="13"/>
      <c r="D4" s="3"/>
      <c r="E4" s="3"/>
      <c r="F4" s="3"/>
      <c r="G4" s="3"/>
      <c r="H4" s="3"/>
      <c r="I4" s="18" t="s">
        <v>1</v>
      </c>
      <c r="J4" s="18" t="s">
        <v>32</v>
      </c>
      <c r="K4" s="18" t="s">
        <v>2</v>
      </c>
      <c r="L4" s="48" t="s">
        <v>33</v>
      </c>
      <c r="M4" s="18" t="s">
        <v>34</v>
      </c>
      <c r="N4" s="18" t="s">
        <v>3</v>
      </c>
      <c r="O4" s="18" t="s">
        <v>35</v>
      </c>
      <c r="P4" s="49" t="s">
        <v>36</v>
      </c>
      <c r="Q4" s="7"/>
      <c r="R4" s="7"/>
      <c r="S4" s="7"/>
      <c r="T4" s="7"/>
      <c r="U4" s="7"/>
      <c r="V4" s="7"/>
      <c r="W4" s="7"/>
      <c r="X4" s="7"/>
      <c r="Y4" s="8"/>
      <c r="Z4" s="49" t="s">
        <v>6</v>
      </c>
      <c r="AA4" s="7"/>
      <c r="AB4" s="7"/>
      <c r="AC4" s="7"/>
      <c r="AD4" s="7"/>
      <c r="AE4" s="7"/>
      <c r="AF4" s="7"/>
      <c r="AG4" s="7"/>
      <c r="AH4" s="7"/>
      <c r="AI4" s="8"/>
      <c r="AJ4" s="50" t="s">
        <v>37</v>
      </c>
      <c r="AK4" s="50" t="s">
        <v>38</v>
      </c>
      <c r="AL4" s="50" t="s">
        <v>39</v>
      </c>
      <c r="AM4" s="50" t="s">
        <v>6</v>
      </c>
      <c r="AN4" s="50" t="s">
        <v>40</v>
      </c>
      <c r="AO4" s="50" t="s">
        <v>41</v>
      </c>
      <c r="AP4" s="48" t="s">
        <v>42</v>
      </c>
      <c r="AQ4" s="48" t="s">
        <v>43</v>
      </c>
      <c r="AR4" s="50" t="s">
        <v>44</v>
      </c>
      <c r="AS4" s="50" t="s">
        <v>45</v>
      </c>
      <c r="AT4" s="18" t="s">
        <v>1</v>
      </c>
      <c r="AU4" s="18" t="s">
        <v>32</v>
      </c>
      <c r="AV4" s="18" t="s">
        <v>2</v>
      </c>
      <c r="AW4" s="18" t="s">
        <v>33</v>
      </c>
      <c r="AX4" s="48" t="s">
        <v>34</v>
      </c>
      <c r="AY4" s="18" t="s">
        <v>3</v>
      </c>
      <c r="AZ4" s="18" t="s">
        <v>35</v>
      </c>
      <c r="BA4" s="51" t="s">
        <v>36</v>
      </c>
      <c r="BB4" s="7"/>
      <c r="BC4" s="7"/>
      <c r="BD4" s="7"/>
      <c r="BE4" s="7"/>
      <c r="BF4" s="7"/>
      <c r="BG4" s="7"/>
      <c r="BH4" s="7"/>
      <c r="BI4" s="7"/>
      <c r="BJ4" s="8"/>
      <c r="BK4" s="49" t="s">
        <v>6</v>
      </c>
      <c r="BL4" s="7"/>
      <c r="BM4" s="7"/>
      <c r="BN4" s="7"/>
      <c r="BO4" s="7"/>
      <c r="BP4" s="7"/>
      <c r="BQ4" s="7"/>
      <c r="BR4" s="7"/>
      <c r="BS4" s="7"/>
      <c r="BT4" s="8"/>
      <c r="BU4" s="50" t="s">
        <v>37</v>
      </c>
      <c r="BV4" s="50" t="s">
        <v>38</v>
      </c>
      <c r="BW4" s="50" t="s">
        <v>39</v>
      </c>
      <c r="BX4" s="50" t="s">
        <v>6</v>
      </c>
      <c r="BY4" s="50" t="s">
        <v>40</v>
      </c>
      <c r="BZ4" s="50" t="s">
        <v>41</v>
      </c>
      <c r="CA4" s="48" t="s">
        <v>42</v>
      </c>
      <c r="CB4" s="48" t="s">
        <v>43</v>
      </c>
      <c r="CC4" s="50" t="s">
        <v>44</v>
      </c>
      <c r="CD4" s="50" t="s">
        <v>45</v>
      </c>
      <c r="CE4" s="18" t="s">
        <v>1</v>
      </c>
      <c r="CF4" s="18" t="s">
        <v>32</v>
      </c>
      <c r="CG4" s="18" t="s">
        <v>2</v>
      </c>
      <c r="CH4" s="18" t="s">
        <v>33</v>
      </c>
      <c r="CI4" s="48" t="s">
        <v>34</v>
      </c>
      <c r="CJ4" s="18" t="s">
        <v>3</v>
      </c>
      <c r="CK4" s="18" t="s">
        <v>35</v>
      </c>
      <c r="CL4" s="51" t="s">
        <v>36</v>
      </c>
      <c r="CM4" s="7"/>
      <c r="CN4" s="7"/>
      <c r="CO4" s="7"/>
      <c r="CP4" s="7"/>
      <c r="CQ4" s="7"/>
      <c r="CR4" s="7"/>
      <c r="CS4" s="7"/>
      <c r="CT4" s="7"/>
      <c r="CU4" s="8"/>
      <c r="CV4" s="49" t="s">
        <v>6</v>
      </c>
      <c r="CW4" s="7"/>
      <c r="CX4" s="7"/>
      <c r="CY4" s="7"/>
      <c r="CZ4" s="7"/>
      <c r="DA4" s="7"/>
      <c r="DB4" s="7"/>
      <c r="DC4" s="7"/>
      <c r="DD4" s="7"/>
      <c r="DE4" s="8"/>
      <c r="DF4" s="50" t="s">
        <v>37</v>
      </c>
      <c r="DG4" s="50" t="s">
        <v>38</v>
      </c>
      <c r="DH4" s="50" t="s">
        <v>39</v>
      </c>
      <c r="DI4" s="50" t="s">
        <v>6</v>
      </c>
      <c r="DJ4" s="50" t="s">
        <v>40</v>
      </c>
      <c r="DK4" s="50" t="s">
        <v>41</v>
      </c>
      <c r="DL4" s="48" t="s">
        <v>42</v>
      </c>
      <c r="DM4" s="48" t="s">
        <v>43</v>
      </c>
      <c r="DN4" s="50" t="s">
        <v>44</v>
      </c>
      <c r="DO4" s="50" t="s">
        <v>45</v>
      </c>
      <c r="DP4" s="18" t="s">
        <v>1</v>
      </c>
      <c r="DQ4" s="18" t="s">
        <v>32</v>
      </c>
      <c r="DR4" s="18" t="s">
        <v>2</v>
      </c>
      <c r="DS4" s="18" t="s">
        <v>33</v>
      </c>
      <c r="DT4" s="48" t="s">
        <v>34</v>
      </c>
      <c r="DU4" s="18" t="s">
        <v>3</v>
      </c>
      <c r="DV4" s="18" t="s">
        <v>35</v>
      </c>
      <c r="DW4" s="51" t="s">
        <v>36</v>
      </c>
      <c r="DX4" s="7"/>
      <c r="DY4" s="7"/>
      <c r="DZ4" s="7"/>
      <c r="EA4" s="7"/>
      <c r="EB4" s="7"/>
      <c r="EC4" s="7"/>
      <c r="ED4" s="7"/>
      <c r="EE4" s="7"/>
      <c r="EF4" s="8"/>
      <c r="EG4" s="49" t="s">
        <v>6</v>
      </c>
      <c r="EH4" s="7"/>
      <c r="EI4" s="7"/>
      <c r="EJ4" s="7"/>
      <c r="EK4" s="7"/>
      <c r="EL4" s="7"/>
      <c r="EM4" s="7"/>
      <c r="EN4" s="7"/>
      <c r="EO4" s="7"/>
      <c r="EP4" s="8"/>
      <c r="EQ4" s="50" t="s">
        <v>37</v>
      </c>
      <c r="ER4" s="50" t="s">
        <v>38</v>
      </c>
      <c r="ES4" s="50" t="s">
        <v>39</v>
      </c>
      <c r="ET4" s="50" t="s">
        <v>6</v>
      </c>
      <c r="EU4" s="50" t="s">
        <v>40</v>
      </c>
      <c r="EV4" s="50" t="s">
        <v>41</v>
      </c>
      <c r="EW4" s="48" t="s">
        <v>42</v>
      </c>
      <c r="EX4" s="48" t="s">
        <v>43</v>
      </c>
      <c r="EY4" s="50" t="s">
        <v>44</v>
      </c>
      <c r="EZ4" s="50" t="s">
        <v>45</v>
      </c>
      <c r="FA4" s="52"/>
    </row>
    <row r="5">
      <c r="A5" s="13"/>
      <c r="B5" s="53" t="s">
        <v>46</v>
      </c>
      <c r="C5" s="53" t="s">
        <v>7</v>
      </c>
      <c r="D5" s="2" t="s">
        <v>47</v>
      </c>
      <c r="E5" s="2" t="s">
        <v>48</v>
      </c>
      <c r="F5" s="53" t="s">
        <v>49</v>
      </c>
      <c r="G5" s="2" t="s">
        <v>50</v>
      </c>
      <c r="H5" s="53" t="s">
        <v>51</v>
      </c>
      <c r="I5" s="18" t="s">
        <v>52</v>
      </c>
      <c r="J5" s="18"/>
      <c r="K5" s="50"/>
      <c r="L5" s="48"/>
      <c r="M5" s="50"/>
      <c r="N5" s="50"/>
      <c r="O5" s="50"/>
      <c r="P5" s="49"/>
      <c r="Q5" s="7"/>
      <c r="R5" s="7"/>
      <c r="S5" s="7"/>
      <c r="T5" s="7"/>
      <c r="U5" s="7"/>
      <c r="V5" s="7"/>
      <c r="W5" s="7"/>
      <c r="X5" s="7"/>
      <c r="Y5" s="8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48"/>
      <c r="AQ5" s="48"/>
      <c r="AR5" s="50"/>
      <c r="AS5" s="50"/>
      <c r="AT5" s="18" t="s">
        <v>52</v>
      </c>
      <c r="AU5" s="18"/>
      <c r="AV5" s="50"/>
      <c r="AW5" s="50"/>
      <c r="AX5" s="48"/>
      <c r="AY5" s="50"/>
      <c r="AZ5" s="50"/>
      <c r="BA5" s="49"/>
      <c r="BB5" s="7"/>
      <c r="BC5" s="7"/>
      <c r="BD5" s="7"/>
      <c r="BE5" s="7"/>
      <c r="BF5" s="7"/>
      <c r="BG5" s="7"/>
      <c r="BH5" s="7"/>
      <c r="BI5" s="7"/>
      <c r="BJ5" s="8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48"/>
      <c r="CB5" s="48"/>
      <c r="CC5" s="50"/>
      <c r="CD5" s="50"/>
      <c r="CE5" s="18" t="s">
        <v>52</v>
      </c>
      <c r="CF5" s="18"/>
      <c r="CG5" s="50"/>
      <c r="CH5" s="50"/>
      <c r="CI5" s="48"/>
      <c r="CJ5" s="50"/>
      <c r="CK5" s="50"/>
      <c r="CL5" s="49"/>
      <c r="CM5" s="7"/>
      <c r="CN5" s="7"/>
      <c r="CO5" s="7"/>
      <c r="CP5" s="7"/>
      <c r="CQ5" s="7"/>
      <c r="CR5" s="7"/>
      <c r="CS5" s="7"/>
      <c r="CT5" s="7"/>
      <c r="CU5" s="8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48"/>
      <c r="DM5" s="48"/>
      <c r="DN5" s="50"/>
      <c r="DO5" s="50"/>
      <c r="DP5" s="18" t="s">
        <v>52</v>
      </c>
      <c r="DQ5" s="18"/>
      <c r="DR5" s="50"/>
      <c r="DS5" s="50"/>
      <c r="DT5" s="48"/>
      <c r="DU5" s="50"/>
      <c r="DV5" s="50"/>
      <c r="DW5" s="49"/>
      <c r="DX5" s="7"/>
      <c r="DY5" s="7"/>
      <c r="DZ5" s="7"/>
      <c r="EA5" s="7"/>
      <c r="EB5" s="7"/>
      <c r="EC5" s="7"/>
      <c r="ED5" s="7"/>
      <c r="EE5" s="7"/>
      <c r="EF5" s="8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48"/>
      <c r="EX5" s="48"/>
      <c r="EY5" s="50"/>
      <c r="EZ5" s="50"/>
      <c r="FA5" s="54"/>
    </row>
    <row r="6">
      <c r="A6" s="13"/>
      <c r="B6" s="27" t="s">
        <v>53</v>
      </c>
      <c r="C6" s="23">
        <v>100.0</v>
      </c>
      <c r="D6" s="29">
        <v>0.8</v>
      </c>
      <c r="E6" s="29">
        <v>0.85</v>
      </c>
      <c r="F6" s="23">
        <v>3.0</v>
      </c>
      <c r="G6" s="33">
        <v>180.0</v>
      </c>
      <c r="H6" s="33">
        <v>0.5</v>
      </c>
      <c r="I6" s="4" t="str">
        <f t="shared" ref="I6:I9" si="1">$B6</f>
        <v>Low Cable Squat [Trainer+]</v>
      </c>
      <c r="J6" s="27">
        <f t="shared" ref="J6:J9" si="2">MAX(ROUND($F6*25%,0),1)</f>
        <v>1</v>
      </c>
      <c r="K6" s="24">
        <f t="shared" ref="K6:K9" si="3">IF(ISNUMBER(J6),J6,MAX(ROUND($F6,0),1))</f>
        <v>1</v>
      </c>
      <c r="L6" s="28"/>
      <c r="M6" s="5">
        <f t="shared" ref="M6:M9" si="4">IF(ISNUMBER(L6),L6,MIN(MAX(MROUND(C6*$D6,$H6),$H6),$G6))</f>
        <v>80</v>
      </c>
      <c r="N6" s="5">
        <f t="shared" ref="N6:N9" si="5">M6</f>
        <v>80</v>
      </c>
      <c r="O6" s="23">
        <v>0.0</v>
      </c>
      <c r="P6" s="23"/>
      <c r="Q6" s="23"/>
      <c r="R6" s="23"/>
      <c r="S6" s="23"/>
      <c r="T6" s="24"/>
      <c r="U6" s="24"/>
      <c r="V6" s="24"/>
      <c r="W6" s="24"/>
      <c r="X6" s="24"/>
      <c r="Y6" s="24"/>
      <c r="Z6" s="24">
        <f t="array" ref="Z6">IF(ISNUMBER(P6),INDEX('hyper-reps-lookup-table'!$B$2:$AE$31,P6,O6+1)*N6*(36/(37-(P6+O6))),0)</f>
        <v>0</v>
      </c>
      <c r="AA6" s="24">
        <f t="array" ref="AA6">IF(ISNUMBER(Q6),INDEX('hyper-reps-lookup-table'!$B$2:$AE$31,Q6,O6+1)*N6*(36/(37-(Q6+O6))),0)</f>
        <v>0</v>
      </c>
      <c r="AB6" s="24">
        <f t="array" ref="AB6">IF(ISNUMBER(R6),INDEX('hyper-reps-lookup-table'!$B$2:$AE$31,R6,O6+1)*N6*(36/(37-(R6+O6))),0)</f>
        <v>0</v>
      </c>
      <c r="AC6" s="24">
        <f t="array" ref="AC6">IF(ISNUMBER(S6),INDEX('hyper-reps-lookup-table'!$B$2:$AE$31,S6,O6+1)*N6*(36/(37-(S6+O6))),0)</f>
        <v>0</v>
      </c>
      <c r="AD6" s="24">
        <f t="array" ref="AD6">IF(ISNUMBER(T6),INDEX('hyper-reps-lookup-table'!$B$2:$AE$31,T6,O6+1)*N6*(36/(37-(T6+O6))),0)</f>
        <v>0</v>
      </c>
      <c r="AE6" s="24">
        <f t="array" ref="AE6">IF(ISNUMBER(U6),INDEX('hyper-reps-lookup-table'!$B$2:$AE$31,U6,O6+1)*N6*(36/(37-(U6+O6))),0)</f>
        <v>0</v>
      </c>
      <c r="AF6" s="24">
        <f t="array" ref="AF6">IF(ISNUMBER(V6),INDEX('hyper-reps-lookup-table'!$B$2:$AE$31,V6,O6+1)*N6*(36/(37-(V6+O6))),0)</f>
        <v>0</v>
      </c>
      <c r="AG6" s="24">
        <f t="array" ref="AG6">IF(ISNUMBER(W6),INDEX('hyper-reps-lookup-table'!$B$2:$AE$31,W6,O6+1)*N6*(36/(37-(W6+O6))),0)</f>
        <v>0</v>
      </c>
      <c r="AH6" s="24">
        <f t="array" ref="AH6">IF(ISNUMBER(X6),INDEX('hyper-reps-lookup-table'!$B$2:$AE$31,X6,O6+1)*N6*(36/(37-(X6+O6))),0)</f>
        <v>0</v>
      </c>
      <c r="AI6" s="24">
        <f t="array" ref="AI6">IF(ISNUMBER(Y6),INDEX('hyper-reps-lookup-table'!$B$2:$AE$31,Y6,O6+1)*N6*(36/(37-(Y6+O6))),0)</f>
        <v>0</v>
      </c>
      <c r="AJ6" s="55">
        <f t="shared" ref="AJ6:AJ9" si="6">IF(AK6&gt;0,N6/AK6,0%)</f>
        <v>0</v>
      </c>
      <c r="AK6" s="24">
        <f t="shared" ref="AK6:AK9" si="7">IF(ISNUMBER(P6),N6*(36/(37-(P6+O6))),0)</f>
        <v>0</v>
      </c>
      <c r="AL6" s="24">
        <f t="shared" ref="AL6:AL9" si="8">SUM(P6:Y6)*N6</f>
        <v>0</v>
      </c>
      <c r="AM6" s="24">
        <f t="shared" ref="AM6:AM9" si="9">SUM(Z6:AI6)</f>
        <v>0</v>
      </c>
      <c r="AN6" s="24">
        <v>0.0</v>
      </c>
      <c r="AO6" s="24">
        <v>0.0</v>
      </c>
      <c r="AP6" s="5">
        <v>0.0</v>
      </c>
      <c r="AQ6" s="5">
        <v>0.0</v>
      </c>
      <c r="AR6" s="24">
        <v>0.0</v>
      </c>
      <c r="AS6" s="24">
        <v>0.0</v>
      </c>
      <c r="AT6" s="4" t="str">
        <f t="shared" ref="AT6:AT9" si="10">I6</f>
        <v>Low Cable Squat [Trainer+]</v>
      </c>
      <c r="AU6" s="24">
        <f t="shared" ref="AU6:AU9" si="11">MAX(ROUND($F6,0),1)</f>
        <v>3</v>
      </c>
      <c r="AV6" s="24">
        <f t="shared" ref="AV6:AV9" si="12">IF(ISNUMBER(AU6),AU6,MIN(MAX(IFS(CC6&gt;0,K6+1,CC6=0,K6,CC6&lt;0,K6),1),$F6))</f>
        <v>3</v>
      </c>
      <c r="AW6" s="23"/>
      <c r="AX6" s="5">
        <f t="shared" ref="AX6:AX9" si="13">IF(ISNUMBER(AW6),AW6,MIN(MAX(MIN(IFS(CC6&gt;0,M6*1.025,CC6=0,M6,CC6&lt;0,AK6*$D6),AK6*$E6),AK6*$D6),$G6))</f>
        <v>0</v>
      </c>
      <c r="AY6" s="5">
        <f t="shared" ref="AY6:AY9" si="14">IF(ISNUMBER(AW6),AW6,MAX(MROUND(AX6,$H6),$H6))</f>
        <v>0.5</v>
      </c>
      <c r="AZ6" s="23">
        <v>0.0</v>
      </c>
      <c r="BA6" s="56"/>
      <c r="BB6" s="56"/>
      <c r="BC6" s="56"/>
      <c r="BD6" s="56"/>
      <c r="BE6" s="57"/>
      <c r="BF6" s="57"/>
      <c r="BG6" s="57"/>
      <c r="BH6" s="57"/>
      <c r="BI6" s="57"/>
      <c r="BJ6" s="57"/>
      <c r="BK6" s="24">
        <f t="array" ref="BK6">IF(ISNUMBER(BA6),INDEX('hyper-reps-lookup-table'!$B$2:$AE$31,BA6,AZ6+1)*AY6*(36/(37-(BA6+AZ6))),0)</f>
        <v>0</v>
      </c>
      <c r="BL6" s="24">
        <f t="array" ref="BL6">IF(ISNUMBER(BB6),INDEX('hyper-reps-lookup-table'!$B$2:$AE$31,BB6,AZ6+1)*AY6*(36/(37-(BB6+AZ6))),0)</f>
        <v>0</v>
      </c>
      <c r="BM6" s="24">
        <f t="array" ref="BM6">IF(ISNUMBER(BC6),INDEX('hyper-reps-lookup-table'!$B$2:$AE$31,BC6,AZ6+1)*AY6*(36/(37-(BC6+AZ6))),0)</f>
        <v>0</v>
      </c>
      <c r="BN6" s="24">
        <f t="array" ref="BN6">IF(ISNUMBER(BD6),INDEX('hyper-reps-lookup-table'!$B$2:$AE$31,BD6,AZ6+1)*AY6*(36/(37-(BD6+AZ6))),0)</f>
        <v>0</v>
      </c>
      <c r="BO6" s="24">
        <f t="array" ref="BO6">IF(ISNUMBER(BE6),INDEX('hyper-reps-lookup-table'!$B$2:$AE$31,BE6,AZ6+1)*AY6*(36/(37-(BE6+AZ6))),0)</f>
        <v>0</v>
      </c>
      <c r="BP6" s="24">
        <f t="array" ref="BP6">IF(ISNUMBER(BF6),INDEX('hyper-reps-lookup-table'!$B$2:$AE$31,BF6,AZ6+1)*AY6*(36/(37-(BF6+AZ6))),0)</f>
        <v>0</v>
      </c>
      <c r="BQ6" s="24">
        <f t="array" ref="BQ6">IF(ISNUMBER(BG6),INDEX('hyper-reps-lookup-table'!$B$2:$AE$31,BG6,AZ6+1)*AY6*(36/(37-(BG6+AZ6))),0)</f>
        <v>0</v>
      </c>
      <c r="BR6" s="24">
        <f t="array" ref="BR6">IF(ISNUMBER(BH6),INDEX('hyper-reps-lookup-table'!$B$2:$AE$31,BH6,AZ6+1)*AY6*(36/(37-(BH6+AZ6))),0)</f>
        <v>0</v>
      </c>
      <c r="BS6" s="24">
        <f t="array" ref="BS6">IF(ISNUMBER(BI6),INDEX('hyper-reps-lookup-table'!$B$2:$AE$31,BI6,AZ6+1)*AY6*(36/(37-(BI6+AZ6))),0)</f>
        <v>0</v>
      </c>
      <c r="BT6" s="24">
        <f t="array" ref="BT6">IF(ISNUMBER(BJ6),INDEX('hyper-reps-lookup-table'!$B$2:$AE$31,BJ6,AZ6+1)*AY6*(36/(37-(BJ6+AZ6))),0)</f>
        <v>0</v>
      </c>
      <c r="BU6" s="55">
        <f t="shared" ref="BU6:BU9" si="15">IF(BV6&gt;0,AY6/BV6,0%)</f>
        <v>0</v>
      </c>
      <c r="BV6" s="24">
        <f t="shared" ref="BV6:BV9" si="16">IF(ISNUMBER(BA6),AY6*(36/(37-(BA6+AZ6))),0)</f>
        <v>0</v>
      </c>
      <c r="BW6" s="24">
        <f t="shared" ref="BW6:BW9" si="17">SUM(BA6:BJ6)*AY6</f>
        <v>0</v>
      </c>
      <c r="BX6" s="24">
        <f t="shared" ref="BX6:BX9" si="18">SUM(BK6:BT6)</f>
        <v>0</v>
      </c>
      <c r="BY6" s="24">
        <f t="shared" ref="BY6:BY9" si="19">MROUND(SUM(Z6:OFFSET(Z6,0,MIN(AV6,K6)-1)),$H6)</f>
        <v>0</v>
      </c>
      <c r="BZ6" s="24">
        <f t="shared" ref="BZ6:BZ9" si="20">MROUND(SUM(BK6:OFFSET(BK6,0,MIN(AV6,K6)-1)),$H6)</f>
        <v>0</v>
      </c>
      <c r="CA6" s="5">
        <f t="shared" ref="CA6:CA9" si="21">AQ24</f>
        <v>0</v>
      </c>
      <c r="CB6" s="5">
        <f t="shared" ref="CB6:CB9" si="22">IF(AND(ISNUMBER(OFFSET(BA6,0,AV6-1)),AT6=I6),IFS(CC6&lt;0,0,BZ6&gt;BY6,1,BZ6&lt;BY6,-0.5,BZ6=BY6,0),0)</f>
        <v>0</v>
      </c>
      <c r="CC6" s="24">
        <f t="shared" ref="CC6:CC9" si="23">AS24</f>
        <v>0</v>
      </c>
      <c r="CD6" s="24">
        <f t="shared" ref="CD6:CD9" si="24">IFS(CC6=-1,-2,CC6=-2,0,CB6&gt;0,1,(CB6+CA6)=-1,-1,CB6=0,0,CB6&lt;0,0)</f>
        <v>0</v>
      </c>
      <c r="CE6" s="4" t="str">
        <f t="shared" ref="CE6:CE9" si="25">AT6</f>
        <v>Low Cable Squat [Trainer+]</v>
      </c>
      <c r="CF6" s="23"/>
      <c r="CG6" s="24">
        <f t="shared" ref="CG6:CG9" si="26">IF(ISNUMBER(CF6),CF6,MIN(MAX(IFS(DN6&gt;0,AV6+1,DN6=0,AV6,DN6&lt;0,AV6),1),$F6))</f>
        <v>3</v>
      </c>
      <c r="CH6" s="23"/>
      <c r="CI6" s="5">
        <f t="shared" ref="CI6:CI9" si="27">IF(ISNUMBER(CH6),CH6,MIN(MAX(MIN(IFS(DN6&gt;0,AX6*1.025,DN6=0,AX6,DN6&lt;0,BV6*$D6),BV6*$E6),BV6*$D6),$G6))</f>
        <v>0</v>
      </c>
      <c r="CJ6" s="5">
        <f t="shared" ref="CJ6:CJ9" si="28">IF(ISNUMBER(CH6),CH6,MAX(MROUND(CI6,$H6),$H6))</f>
        <v>0.5</v>
      </c>
      <c r="CK6" s="23">
        <v>0.0</v>
      </c>
      <c r="CL6" s="56"/>
      <c r="CM6" s="56"/>
      <c r="CN6" s="56"/>
      <c r="CO6" s="56"/>
      <c r="CP6" s="57"/>
      <c r="CQ6" s="57"/>
      <c r="CR6" s="57"/>
      <c r="CS6" s="57"/>
      <c r="CT6" s="57"/>
      <c r="CU6" s="57"/>
      <c r="CV6" s="24">
        <f t="array" ref="CV6">IF(ISNUMBER(CL6),INDEX('hyper-reps-lookup-table'!$B$2:$AE$31,CL6,CK6+1)*CJ6*(36/(37-(CL6+CK6))),0)</f>
        <v>0</v>
      </c>
      <c r="CW6" s="24">
        <f t="array" ref="CW6">IF(ISNUMBER(CM6),INDEX('hyper-reps-lookup-table'!$B$2:$AE$31,CM6,CK6+1)*CJ6*(36/(37-(CM6+CK6))),0)</f>
        <v>0</v>
      </c>
      <c r="CX6" s="24">
        <f t="array" ref="CX6">IF(ISNUMBER(CN6),INDEX('hyper-reps-lookup-table'!$B$2:$AE$31,CN6,CK6+1)*CJ6*(36/(37-(CN6+CK6))),0)</f>
        <v>0</v>
      </c>
      <c r="CY6" s="24">
        <f t="array" ref="CY6">IF(ISNUMBER(CO6),INDEX('hyper-reps-lookup-table'!$B$2:$AE$31,CO6,CK6+1)*CJ6*(36/(37-(CO6+CK6))),0)</f>
        <v>0</v>
      </c>
      <c r="CZ6" s="24">
        <f t="array" ref="CZ6">IF(ISNUMBER(CP6),INDEX('hyper-reps-lookup-table'!$B$2:$AE$31,CP6,CK6+1)*CJ6*(36/(37-(CP6+CK6))),0)</f>
        <v>0</v>
      </c>
      <c r="DA6" s="24">
        <f t="array" ref="DA6">IF(ISNUMBER(CQ6),INDEX('hyper-reps-lookup-table'!$B$2:$AE$31,CQ6,CK6+1)*CJ6*(36/(37-(CQ6+CK6))),0)</f>
        <v>0</v>
      </c>
      <c r="DB6" s="24">
        <f t="array" ref="DB6">IF(ISNUMBER(CR6),INDEX('hyper-reps-lookup-table'!$B$2:$AE$31,CR6,CK6+1)*CJ6*(36/(37-(CR6+CK6))),0)</f>
        <v>0</v>
      </c>
      <c r="DC6" s="24">
        <f t="array" ref="DC6">IF(ISNUMBER(CS6),INDEX('hyper-reps-lookup-table'!$B$2:$AE$31,CS6,CK6+1)*CJ6*(36/(37-(CS6+CK6))),0)</f>
        <v>0</v>
      </c>
      <c r="DD6" s="24">
        <f t="array" ref="DD6">IF(ISNUMBER(CT6),INDEX('hyper-reps-lookup-table'!$B$2:$AE$31,CT6,CK6+1)*CJ6*(36/(37-(CT6+CK6))),0)</f>
        <v>0</v>
      </c>
      <c r="DE6" s="24">
        <f t="array" ref="DE6">IF(ISNUMBER(CU6),INDEX('hyper-reps-lookup-table'!$B$2:$AE$31,CU6,CK6+1)*CJ6*(36/(37-(CU6+CK6))),0)</f>
        <v>0</v>
      </c>
      <c r="DF6" s="55">
        <f t="shared" ref="DF6:DF9" si="29">IF(DG6&gt;0,CJ6/DG6,0%)</f>
        <v>0</v>
      </c>
      <c r="DG6" s="24">
        <f t="shared" ref="DG6:DG9" si="30">IF(ISNUMBER(CL6),CJ6*(36/(37-(CL6+CK6))),0)</f>
        <v>0</v>
      </c>
      <c r="DH6" s="24">
        <f t="shared" ref="DH6:DH9" si="31">SUM(CL6:CU6)*CJ6</f>
        <v>0</v>
      </c>
      <c r="DI6" s="24">
        <f t="shared" ref="DI6:DI9" si="32">SUM(CV6:DE6)</f>
        <v>0</v>
      </c>
      <c r="DJ6" s="24">
        <f t="shared" ref="DJ6:DJ9" si="33">MROUND(SUM(BK6:OFFSET(BK6,0,MIN(CG6,AV6)-1)),$H6)</f>
        <v>0</v>
      </c>
      <c r="DK6" s="24">
        <f t="shared" ref="DK6:DK9" si="34">MROUND(SUM(CV6:OFFSET(CV6,0,MIN(CG6,AV6)-1)),$H6)</f>
        <v>0</v>
      </c>
      <c r="DL6" s="5">
        <f t="shared" ref="DL6:DL9" si="35">CB24</f>
        <v>0</v>
      </c>
      <c r="DM6" s="5">
        <f t="shared" ref="DM6:DM9" si="36">IF(AND(ISNUMBER(OFFSET(CL6,0,CG6-1)),CE6=AT6),IFS(DN6&lt;0,0,DK6&gt;DJ6,1,DK6&lt;DJ6,-0.5,DK6=DJ6,0),0)</f>
        <v>0</v>
      </c>
      <c r="DN6" s="24">
        <f t="shared" ref="DN6:DN9" si="37">CD24</f>
        <v>0</v>
      </c>
      <c r="DO6" s="24">
        <f t="shared" ref="DO6:DO9" si="38">IFS(DN6=-1,-2,DN6=-2,0,DM6&gt;0,1,(DM6+DL6)=-1,-1,DM6=0,0,DM6&lt;0,0)</f>
        <v>0</v>
      </c>
      <c r="DP6" s="4" t="str">
        <f t="shared" ref="DP6:DP9" si="39">CE6</f>
        <v>Low Cable Squat [Trainer+]</v>
      </c>
      <c r="DQ6" s="24"/>
      <c r="DR6" s="24">
        <f t="shared" ref="DR6:DR9" si="40">IF(ISNUMBER(DQ6),DQ6,MIN(MAX(IFS(EY6&gt;0,CG6+1,EY6=0,CG6,EY6&lt;0,CG6),1),$F6))</f>
        <v>3</v>
      </c>
      <c r="DS6" s="23"/>
      <c r="DT6" s="5">
        <f t="shared" ref="DT6:DT9" si="41">IF(ISNUMBER(DS6),DS6,MIN(MAX(MIN(IFS(EY6&gt;0,CI6*1.025,EY6=0,CI6,EY6&lt;0,DG6*$D6),DG6*$E6),DG6*$D6),$G6))</f>
        <v>0</v>
      </c>
      <c r="DU6" s="5">
        <f t="shared" ref="DU6:DU9" si="42">IF(ISNUMBER(DS6),DS6,MAX(MROUND(DT6,$H6),$H6))</f>
        <v>0.5</v>
      </c>
      <c r="DV6" s="23">
        <v>0.0</v>
      </c>
      <c r="DW6" s="56"/>
      <c r="DX6" s="56"/>
      <c r="DY6" s="56"/>
      <c r="DZ6" s="56"/>
      <c r="EA6" s="57"/>
      <c r="EB6" s="57"/>
      <c r="EC6" s="57"/>
      <c r="ED6" s="57"/>
      <c r="EE6" s="57"/>
      <c r="EF6" s="57"/>
      <c r="EG6" s="24">
        <f t="array" ref="EG6">IF(ISNUMBER(DW6),INDEX('hyper-reps-lookup-table'!$B$2:$AE$31,DW6,DV6+1)*DU6*(36/(37-(DW6+DV6))),0)</f>
        <v>0</v>
      </c>
      <c r="EH6" s="24">
        <f t="array" ref="EH6">IF(ISNUMBER(DX6),INDEX('hyper-reps-lookup-table'!$B$2:$AE$31,DX6,DV6+1)*DU6*(36/(37-(DX6+DV6))),0)</f>
        <v>0</v>
      </c>
      <c r="EI6" s="24">
        <f t="array" ref="EI6">IF(ISNUMBER(DY6),INDEX('hyper-reps-lookup-table'!$B$2:$AE$31,DY6,DV6+1)*DU6*(36/(37-(DY6+DV6))),0)</f>
        <v>0</v>
      </c>
      <c r="EJ6" s="24">
        <f t="array" ref="EJ6">IF(ISNUMBER(DZ6),INDEX('hyper-reps-lookup-table'!$B$2:$AE$31,DZ6,DV6+1)*DU6*(36/(37-(DZ6+DV6))),0)</f>
        <v>0</v>
      </c>
      <c r="EK6" s="24">
        <f t="array" ref="EK6">IF(ISNUMBER(EA6),INDEX('hyper-reps-lookup-table'!$B$2:$AE$31,EA6,DV6+1)*DU6*(36/(37-(EA6+DV6))),0)</f>
        <v>0</v>
      </c>
      <c r="EL6" s="24">
        <f t="array" ref="EL6">IF(ISNUMBER(EB6),INDEX('hyper-reps-lookup-table'!$B$2:$AE$31,EB6,DV6+1)*DU6*(36/(37-(EB6+DV6))),0)</f>
        <v>0</v>
      </c>
      <c r="EM6" s="24">
        <f t="array" ref="EM6">IF(ISNUMBER(EC6),INDEX('hyper-reps-lookup-table'!$B$2:$AE$31,EC6,DV6+1)*DU6*(36/(37-(EC6+DV6))),0)</f>
        <v>0</v>
      </c>
      <c r="EN6" s="24">
        <f t="array" ref="EN6">IF(ISNUMBER(ED6),INDEX('hyper-reps-lookup-table'!$B$2:$AE$31,ED6,DV6+1)*DU6*(36/(37-(ED6+DV6))),0)</f>
        <v>0</v>
      </c>
      <c r="EO6" s="24">
        <f t="array" ref="EO6">IF(ISNUMBER(EE6),INDEX('hyper-reps-lookup-table'!$B$2:$AE$31,EE6,DV6+1)*DU6*(36/(37-(EE6+DV6))),0)</f>
        <v>0</v>
      </c>
      <c r="EP6" s="24">
        <f t="array" ref="EP6">IF(ISNUMBER(EF6),INDEX('hyper-reps-lookup-table'!$B$2:$AE$31,EF6,DV6+1)*DU6*(36/(37-(EF6+DV6))),0)</f>
        <v>0</v>
      </c>
      <c r="EQ6" s="55">
        <f t="shared" ref="EQ6:EQ9" si="43">IF(ER6&gt;0,DU6/ER6,0%)</f>
        <v>0</v>
      </c>
      <c r="ER6" s="24">
        <f t="shared" ref="ER6:ER9" si="44">IF(ISNUMBER(DW6),DU6*(36/(37-(DW6+DV6))),0)</f>
        <v>0</v>
      </c>
      <c r="ES6" s="24">
        <f t="shared" ref="ES6:ES9" si="45">SUM(DW6:EF6)*DU6</f>
        <v>0</v>
      </c>
      <c r="ET6" s="24">
        <f t="shared" ref="ET6:ET9" si="46">SUM(EG6:EP6)</f>
        <v>0</v>
      </c>
      <c r="EU6" s="24">
        <f t="shared" ref="EU6:EU9" si="47">MROUND(SUM(CV6:OFFSET(CV6,0,MIN(DR6,CG6)-1)),$H6)</f>
        <v>0</v>
      </c>
      <c r="EV6" s="24">
        <f t="shared" ref="EV6:EV9" si="48">MROUND(SUM(EG6:OFFSET(EG6,0,MIN(DR6,CG6)-1)),$H6)</f>
        <v>0</v>
      </c>
      <c r="EW6" s="5">
        <f t="shared" ref="EW6:EW9" si="49">DM24</f>
        <v>0</v>
      </c>
      <c r="EX6" s="5">
        <f t="shared" ref="EX6:EX9" si="50">IF(AND(ISNUMBER(OFFSET(DW6,0,DR6-1)),DP6=CE6),IFS(EY6&lt;0,0,EV6&gt;EU6,1,EV6&lt;EU6,-0.5,EV6=EU6,0),0)</f>
        <v>0</v>
      </c>
      <c r="EY6" s="24">
        <f t="shared" ref="EY6:EY9" si="51">DO24</f>
        <v>0</v>
      </c>
      <c r="EZ6" s="24">
        <f t="shared" ref="EZ6:EZ9" si="52">IFS(EY6=-1,-2,EY6=-2,0,EX6&gt;0,1,(EX6+EW6)=-1,-1,EX6=0,0,EX6&lt;0,0)</f>
        <v>0</v>
      </c>
      <c r="FA6" s="14"/>
    </row>
    <row r="7">
      <c r="A7" s="13"/>
      <c r="B7" s="27" t="s">
        <v>54</v>
      </c>
      <c r="C7" s="23">
        <v>100.0</v>
      </c>
      <c r="D7" s="29">
        <v>0.8</v>
      </c>
      <c r="E7" s="29">
        <v>0.85</v>
      </c>
      <c r="F7" s="23">
        <v>3.0</v>
      </c>
      <c r="G7" s="33">
        <v>180.0</v>
      </c>
      <c r="H7" s="33">
        <v>0.5</v>
      </c>
      <c r="I7" s="4" t="str">
        <f t="shared" si="1"/>
        <v>Romanian Deadlift [Trainer+]</v>
      </c>
      <c r="J7" s="27">
        <f t="shared" si="2"/>
        <v>1</v>
      </c>
      <c r="K7" s="24">
        <f t="shared" si="3"/>
        <v>1</v>
      </c>
      <c r="L7" s="28"/>
      <c r="M7" s="5">
        <f t="shared" si="4"/>
        <v>80</v>
      </c>
      <c r="N7" s="5">
        <f t="shared" si="5"/>
        <v>80</v>
      </c>
      <c r="O7" s="23">
        <v>0.0</v>
      </c>
      <c r="P7" s="23"/>
      <c r="Q7" s="23"/>
      <c r="R7" s="23"/>
      <c r="S7" s="23"/>
      <c r="T7" s="24"/>
      <c r="U7" s="24"/>
      <c r="V7" s="24"/>
      <c r="W7" s="24"/>
      <c r="X7" s="24"/>
      <c r="Y7" s="24"/>
      <c r="Z7" s="24">
        <f t="array" ref="Z7">IF(ISNUMBER(P7),INDEX('hyper-reps-lookup-table'!$B$2:$AE$31,P7,O7+1)*N7*(36/(37-(P7+O7))),0)</f>
        <v>0</v>
      </c>
      <c r="AA7" s="24">
        <f t="array" ref="AA7">IF(ISNUMBER(Q7),INDEX('hyper-reps-lookup-table'!$B$2:$AE$31,Q7,O7+1)*N7*(36/(37-(Q7+O7))),0)</f>
        <v>0</v>
      </c>
      <c r="AB7" s="24">
        <f t="array" ref="AB7">IF(ISNUMBER(R7),INDEX('hyper-reps-lookup-table'!$B$2:$AE$31,R7,O7+1)*N7*(36/(37-(R7+O7))),0)</f>
        <v>0</v>
      </c>
      <c r="AC7" s="24">
        <f t="array" ref="AC7">IF(ISNUMBER(S7),INDEX('hyper-reps-lookup-table'!$B$2:$AE$31,S7,O7+1)*N7*(36/(37-(S7+O7))),0)</f>
        <v>0</v>
      </c>
      <c r="AD7" s="24">
        <f t="array" ref="AD7">IF(ISNUMBER(T7),INDEX('hyper-reps-lookup-table'!$B$2:$AE$31,T7,O7+1)*N7*(36/(37-(T7+O7))),0)</f>
        <v>0</v>
      </c>
      <c r="AE7" s="24">
        <f t="array" ref="AE7">IF(ISNUMBER(U7),INDEX('hyper-reps-lookup-table'!$B$2:$AE$31,U7,O7+1)*N7*(36/(37-(U7+O7))),0)</f>
        <v>0</v>
      </c>
      <c r="AF7" s="24">
        <f t="array" ref="AF7">IF(ISNUMBER(V7),INDEX('hyper-reps-lookup-table'!$B$2:$AE$31,V7,O7+1)*N7*(36/(37-(V7+O7))),0)</f>
        <v>0</v>
      </c>
      <c r="AG7" s="24">
        <f t="array" ref="AG7">IF(ISNUMBER(W7),INDEX('hyper-reps-lookup-table'!$B$2:$AE$31,W7,O7+1)*N7*(36/(37-(W7+O7))),0)</f>
        <v>0</v>
      </c>
      <c r="AH7" s="24">
        <f t="array" ref="AH7">IF(ISNUMBER(X7),INDEX('hyper-reps-lookup-table'!$B$2:$AE$31,X7,O7+1)*N7*(36/(37-(X7+O7))),0)</f>
        <v>0</v>
      </c>
      <c r="AI7" s="24">
        <f t="array" ref="AI7">IF(ISNUMBER(Y7),INDEX('hyper-reps-lookup-table'!$B$2:$AE$31,Y7,O7+1)*N7*(36/(37-(Y7+O7))),0)</f>
        <v>0</v>
      </c>
      <c r="AJ7" s="55">
        <f t="shared" si="6"/>
        <v>0</v>
      </c>
      <c r="AK7" s="24">
        <f t="shared" si="7"/>
        <v>0</v>
      </c>
      <c r="AL7" s="24">
        <f t="shared" si="8"/>
        <v>0</v>
      </c>
      <c r="AM7" s="24">
        <f t="shared" si="9"/>
        <v>0</v>
      </c>
      <c r="AN7" s="24">
        <v>0.0</v>
      </c>
      <c r="AO7" s="24">
        <v>0.0</v>
      </c>
      <c r="AP7" s="5">
        <v>0.0</v>
      </c>
      <c r="AQ7" s="5">
        <v>0.0</v>
      </c>
      <c r="AR7" s="24">
        <v>0.0</v>
      </c>
      <c r="AS7" s="24">
        <v>0.0</v>
      </c>
      <c r="AT7" s="4" t="str">
        <f t="shared" si="10"/>
        <v>Romanian Deadlift [Trainer+]</v>
      </c>
      <c r="AU7" s="24">
        <f t="shared" si="11"/>
        <v>3</v>
      </c>
      <c r="AV7" s="24">
        <f t="shared" si="12"/>
        <v>3</v>
      </c>
      <c r="AW7" s="23"/>
      <c r="AX7" s="5">
        <f t="shared" si="13"/>
        <v>0</v>
      </c>
      <c r="AY7" s="5">
        <f t="shared" si="14"/>
        <v>0.5</v>
      </c>
      <c r="AZ7" s="23">
        <v>0.0</v>
      </c>
      <c r="BA7" s="56"/>
      <c r="BB7" s="56"/>
      <c r="BC7" s="56"/>
      <c r="BD7" s="57"/>
      <c r="BE7" s="57"/>
      <c r="BF7" s="57"/>
      <c r="BG7" s="57"/>
      <c r="BH7" s="57"/>
      <c r="BI7" s="57"/>
      <c r="BJ7" s="57"/>
      <c r="BK7" s="24">
        <f t="array" ref="BK7">IF(ISNUMBER(BA7),INDEX('hyper-reps-lookup-table'!$B$2:$AE$31,BA7,AZ7+1)*AY7*(36/(37-(BA7+AZ7))),0)</f>
        <v>0</v>
      </c>
      <c r="BL7" s="24">
        <f t="array" ref="BL7">IF(ISNUMBER(BB7),INDEX('hyper-reps-lookup-table'!$B$2:$AE$31,BB7,AZ7+1)*AY7*(36/(37-(BB7+AZ7))),0)</f>
        <v>0</v>
      </c>
      <c r="BM7" s="24">
        <f t="array" ref="BM7">IF(ISNUMBER(BC7),INDEX('hyper-reps-lookup-table'!$B$2:$AE$31,BC7,AZ7+1)*AY7*(36/(37-(BC7+AZ7))),0)</f>
        <v>0</v>
      </c>
      <c r="BN7" s="24">
        <f t="array" ref="BN7">IF(ISNUMBER(BD7),INDEX('hyper-reps-lookup-table'!$B$2:$AE$31,BD7,AZ7+1)*AY7*(36/(37-(BD7+AZ7))),0)</f>
        <v>0</v>
      </c>
      <c r="BO7" s="24">
        <f t="array" ref="BO7">IF(ISNUMBER(BE7),INDEX('hyper-reps-lookup-table'!$B$2:$AE$31,BE7,AZ7+1)*AY7*(36/(37-(BE7+AZ7))),0)</f>
        <v>0</v>
      </c>
      <c r="BP7" s="24">
        <f t="array" ref="BP7">IF(ISNUMBER(BF7),INDEX('hyper-reps-lookup-table'!$B$2:$AE$31,BF7,AZ7+1)*AY7*(36/(37-(BF7+AZ7))),0)</f>
        <v>0</v>
      </c>
      <c r="BQ7" s="24">
        <f t="array" ref="BQ7">IF(ISNUMBER(BG7),INDEX('hyper-reps-lookup-table'!$B$2:$AE$31,BG7,AZ7+1)*AY7*(36/(37-(BG7+AZ7))),0)</f>
        <v>0</v>
      </c>
      <c r="BR7" s="24">
        <f t="array" ref="BR7">IF(ISNUMBER(BH7),INDEX('hyper-reps-lookup-table'!$B$2:$AE$31,BH7,AZ7+1)*AY7*(36/(37-(BH7+AZ7))),0)</f>
        <v>0</v>
      </c>
      <c r="BS7" s="24">
        <f t="array" ref="BS7">IF(ISNUMBER(BI7),INDEX('hyper-reps-lookup-table'!$B$2:$AE$31,BI7,AZ7+1)*AY7*(36/(37-(BI7+AZ7))),0)</f>
        <v>0</v>
      </c>
      <c r="BT7" s="24">
        <f t="array" ref="BT7">IF(ISNUMBER(BJ7),INDEX('hyper-reps-lookup-table'!$B$2:$AE$31,BJ7,AZ7+1)*AY7*(36/(37-(BJ7+AZ7))),0)</f>
        <v>0</v>
      </c>
      <c r="BU7" s="55">
        <f t="shared" si="15"/>
        <v>0</v>
      </c>
      <c r="BV7" s="24">
        <f t="shared" si="16"/>
        <v>0</v>
      </c>
      <c r="BW7" s="24">
        <f t="shared" si="17"/>
        <v>0</v>
      </c>
      <c r="BX7" s="24">
        <f t="shared" si="18"/>
        <v>0</v>
      </c>
      <c r="BY7" s="24">
        <f t="shared" si="19"/>
        <v>0</v>
      </c>
      <c r="BZ7" s="24">
        <f t="shared" si="20"/>
        <v>0</v>
      </c>
      <c r="CA7" s="5">
        <f t="shared" si="21"/>
        <v>0</v>
      </c>
      <c r="CB7" s="5">
        <f t="shared" si="22"/>
        <v>0</v>
      </c>
      <c r="CC7" s="24">
        <f t="shared" si="23"/>
        <v>0</v>
      </c>
      <c r="CD7" s="24">
        <f t="shared" si="24"/>
        <v>0</v>
      </c>
      <c r="CE7" s="4" t="str">
        <f t="shared" si="25"/>
        <v>Romanian Deadlift [Trainer+]</v>
      </c>
      <c r="CF7" s="23"/>
      <c r="CG7" s="24">
        <f t="shared" si="26"/>
        <v>3</v>
      </c>
      <c r="CH7" s="23"/>
      <c r="CI7" s="5">
        <f t="shared" si="27"/>
        <v>0</v>
      </c>
      <c r="CJ7" s="5">
        <f t="shared" si="28"/>
        <v>0.5</v>
      </c>
      <c r="CK7" s="23">
        <v>0.0</v>
      </c>
      <c r="CL7" s="56"/>
      <c r="CM7" s="56"/>
      <c r="CN7" s="56"/>
      <c r="CO7" s="57"/>
      <c r="CP7" s="57"/>
      <c r="CQ7" s="57"/>
      <c r="CR7" s="57"/>
      <c r="CS7" s="57"/>
      <c r="CT7" s="57"/>
      <c r="CU7" s="57"/>
      <c r="CV7" s="24">
        <f t="array" ref="CV7">IF(ISNUMBER(CL7),INDEX('hyper-reps-lookup-table'!$B$2:$AE$31,CL7,CK7+1)*CJ7*(36/(37-(CL7+CK7))),0)</f>
        <v>0</v>
      </c>
      <c r="CW7" s="24">
        <f t="array" ref="CW7">IF(ISNUMBER(CM7),INDEX('hyper-reps-lookup-table'!$B$2:$AE$31,CM7,CK7+1)*CJ7*(36/(37-(CM7+CK7))),0)</f>
        <v>0</v>
      </c>
      <c r="CX7" s="24">
        <f t="array" ref="CX7">IF(ISNUMBER(CN7),INDEX('hyper-reps-lookup-table'!$B$2:$AE$31,CN7,CK7+1)*CJ7*(36/(37-(CN7+CK7))),0)</f>
        <v>0</v>
      </c>
      <c r="CY7" s="24">
        <f t="array" ref="CY7">IF(ISNUMBER(CO7),INDEX('hyper-reps-lookup-table'!$B$2:$AE$31,CO7,CK7+1)*CJ7*(36/(37-(CO7+CK7))),0)</f>
        <v>0</v>
      </c>
      <c r="CZ7" s="24">
        <f t="array" ref="CZ7">IF(ISNUMBER(CP7),INDEX('hyper-reps-lookup-table'!$B$2:$AE$31,CP7,CK7+1)*CJ7*(36/(37-(CP7+CK7))),0)</f>
        <v>0</v>
      </c>
      <c r="DA7" s="24">
        <f t="array" ref="DA7">IF(ISNUMBER(CQ7),INDEX('hyper-reps-lookup-table'!$B$2:$AE$31,CQ7,CK7+1)*CJ7*(36/(37-(CQ7+CK7))),0)</f>
        <v>0</v>
      </c>
      <c r="DB7" s="24">
        <f t="array" ref="DB7">IF(ISNUMBER(CR7),INDEX('hyper-reps-lookup-table'!$B$2:$AE$31,CR7,CK7+1)*CJ7*(36/(37-(CR7+CK7))),0)</f>
        <v>0</v>
      </c>
      <c r="DC7" s="24">
        <f t="array" ref="DC7">IF(ISNUMBER(CS7),INDEX('hyper-reps-lookup-table'!$B$2:$AE$31,CS7,CK7+1)*CJ7*(36/(37-(CS7+CK7))),0)</f>
        <v>0</v>
      </c>
      <c r="DD7" s="24">
        <f t="array" ref="DD7">IF(ISNUMBER(CT7),INDEX('hyper-reps-lookup-table'!$B$2:$AE$31,CT7,CK7+1)*CJ7*(36/(37-(CT7+CK7))),0)</f>
        <v>0</v>
      </c>
      <c r="DE7" s="24">
        <f t="array" ref="DE7">IF(ISNUMBER(CU7),INDEX('hyper-reps-lookup-table'!$B$2:$AE$31,CU7,CK7+1)*CJ7*(36/(37-(CU7+CK7))),0)</f>
        <v>0</v>
      </c>
      <c r="DF7" s="55">
        <f t="shared" si="29"/>
        <v>0</v>
      </c>
      <c r="DG7" s="24">
        <f t="shared" si="30"/>
        <v>0</v>
      </c>
      <c r="DH7" s="24">
        <f t="shared" si="31"/>
        <v>0</v>
      </c>
      <c r="DI7" s="24">
        <f t="shared" si="32"/>
        <v>0</v>
      </c>
      <c r="DJ7" s="24">
        <f t="shared" si="33"/>
        <v>0</v>
      </c>
      <c r="DK7" s="24">
        <f t="shared" si="34"/>
        <v>0</v>
      </c>
      <c r="DL7" s="5">
        <f t="shared" si="35"/>
        <v>0</v>
      </c>
      <c r="DM7" s="5">
        <f t="shared" si="36"/>
        <v>0</v>
      </c>
      <c r="DN7" s="24">
        <f t="shared" si="37"/>
        <v>0</v>
      </c>
      <c r="DO7" s="24">
        <f t="shared" si="38"/>
        <v>0</v>
      </c>
      <c r="DP7" s="4" t="str">
        <f t="shared" si="39"/>
        <v>Romanian Deadlift [Trainer+]</v>
      </c>
      <c r="DQ7" s="24"/>
      <c r="DR7" s="24">
        <f t="shared" si="40"/>
        <v>3</v>
      </c>
      <c r="DS7" s="23"/>
      <c r="DT7" s="5">
        <f t="shared" si="41"/>
        <v>0</v>
      </c>
      <c r="DU7" s="5">
        <f t="shared" si="42"/>
        <v>0.5</v>
      </c>
      <c r="DV7" s="23">
        <v>0.0</v>
      </c>
      <c r="DW7" s="56"/>
      <c r="DX7" s="56"/>
      <c r="DY7" s="56"/>
      <c r="DZ7" s="57"/>
      <c r="EA7" s="57"/>
      <c r="EB7" s="57"/>
      <c r="EC7" s="57"/>
      <c r="ED7" s="57"/>
      <c r="EE7" s="57"/>
      <c r="EF7" s="57"/>
      <c r="EG7" s="24">
        <f t="array" ref="EG7">IF(ISNUMBER(DW7),INDEX('hyper-reps-lookup-table'!$B$2:$AE$31,DW7,DV7+1)*DU7*(36/(37-(DW7+DV7))),0)</f>
        <v>0</v>
      </c>
      <c r="EH7" s="24">
        <f t="array" ref="EH7">IF(ISNUMBER(DX7),INDEX('hyper-reps-lookup-table'!$B$2:$AE$31,DX7,DV7+1)*DU7*(36/(37-(DX7+DV7))),0)</f>
        <v>0</v>
      </c>
      <c r="EI7" s="24">
        <f t="array" ref="EI7">IF(ISNUMBER(DY7),INDEX('hyper-reps-lookup-table'!$B$2:$AE$31,DY7,DV7+1)*DU7*(36/(37-(DY7+DV7))),0)</f>
        <v>0</v>
      </c>
      <c r="EJ7" s="24">
        <f t="array" ref="EJ7">IF(ISNUMBER(DZ7),INDEX('hyper-reps-lookup-table'!$B$2:$AE$31,DZ7,DV7+1)*DU7*(36/(37-(DZ7+DV7))),0)</f>
        <v>0</v>
      </c>
      <c r="EK7" s="24">
        <f t="array" ref="EK7">IF(ISNUMBER(EA7),INDEX('hyper-reps-lookup-table'!$B$2:$AE$31,EA7,DV7+1)*DU7*(36/(37-(EA7+DV7))),0)</f>
        <v>0</v>
      </c>
      <c r="EL7" s="24">
        <f t="array" ref="EL7">IF(ISNUMBER(EB7),INDEX('hyper-reps-lookup-table'!$B$2:$AE$31,EB7,DV7+1)*DU7*(36/(37-(EB7+DV7))),0)</f>
        <v>0</v>
      </c>
      <c r="EM7" s="24">
        <f t="array" ref="EM7">IF(ISNUMBER(EC7),INDEX('hyper-reps-lookup-table'!$B$2:$AE$31,EC7,DV7+1)*DU7*(36/(37-(EC7+DV7))),0)</f>
        <v>0</v>
      </c>
      <c r="EN7" s="24">
        <f t="array" ref="EN7">IF(ISNUMBER(ED7),INDEX('hyper-reps-lookup-table'!$B$2:$AE$31,ED7,DV7+1)*DU7*(36/(37-(ED7+DV7))),0)</f>
        <v>0</v>
      </c>
      <c r="EO7" s="24">
        <f t="array" ref="EO7">IF(ISNUMBER(EE7),INDEX('hyper-reps-lookup-table'!$B$2:$AE$31,EE7,DV7+1)*DU7*(36/(37-(EE7+DV7))),0)</f>
        <v>0</v>
      </c>
      <c r="EP7" s="24">
        <f t="array" ref="EP7">IF(ISNUMBER(EF7),INDEX('hyper-reps-lookup-table'!$B$2:$AE$31,EF7,DV7+1)*DU7*(36/(37-(EF7+DV7))),0)</f>
        <v>0</v>
      </c>
      <c r="EQ7" s="55">
        <f t="shared" si="43"/>
        <v>0</v>
      </c>
      <c r="ER7" s="24">
        <f t="shared" si="44"/>
        <v>0</v>
      </c>
      <c r="ES7" s="24">
        <f t="shared" si="45"/>
        <v>0</v>
      </c>
      <c r="ET7" s="24">
        <f t="shared" si="46"/>
        <v>0</v>
      </c>
      <c r="EU7" s="24">
        <f t="shared" si="47"/>
        <v>0</v>
      </c>
      <c r="EV7" s="24">
        <f t="shared" si="48"/>
        <v>0</v>
      </c>
      <c r="EW7" s="5">
        <f t="shared" si="49"/>
        <v>0</v>
      </c>
      <c r="EX7" s="5">
        <f t="shared" si="50"/>
        <v>0</v>
      </c>
      <c r="EY7" s="24">
        <f t="shared" si="51"/>
        <v>0</v>
      </c>
      <c r="EZ7" s="24">
        <f t="shared" si="52"/>
        <v>0</v>
      </c>
      <c r="FA7" s="14"/>
    </row>
    <row r="8">
      <c r="A8" s="13"/>
      <c r="B8" s="27" t="s">
        <v>55</v>
      </c>
      <c r="C8" s="23">
        <v>100.0</v>
      </c>
      <c r="D8" s="29">
        <v>0.75</v>
      </c>
      <c r="E8" s="29">
        <v>0.8</v>
      </c>
      <c r="F8" s="23">
        <v>3.0</v>
      </c>
      <c r="G8" s="33">
        <v>90.0</v>
      </c>
      <c r="H8" s="33">
        <v>2.5</v>
      </c>
      <c r="I8" s="4" t="str">
        <f t="shared" si="1"/>
        <v>Single Leg Extension (RPT) [Unica]</v>
      </c>
      <c r="J8" s="27">
        <f t="shared" si="2"/>
        <v>1</v>
      </c>
      <c r="K8" s="24">
        <f t="shared" si="3"/>
        <v>1</v>
      </c>
      <c r="L8" s="28"/>
      <c r="M8" s="5">
        <f t="shared" si="4"/>
        <v>75</v>
      </c>
      <c r="N8" s="5">
        <f t="shared" si="5"/>
        <v>75</v>
      </c>
      <c r="O8" s="23">
        <v>0.0</v>
      </c>
      <c r="P8" s="23"/>
      <c r="Q8" s="23"/>
      <c r="R8" s="23"/>
      <c r="S8" s="23"/>
      <c r="T8" s="24"/>
      <c r="U8" s="24"/>
      <c r="V8" s="24"/>
      <c r="W8" s="24"/>
      <c r="X8" s="24"/>
      <c r="Y8" s="24"/>
      <c r="Z8" s="24">
        <f t="array" ref="Z8">IF(ISNUMBER(P8),INDEX('hyper-reps-lookup-table'!$B$2:$AE$31,P8,O8+1)*N8*(36/(37-(P8+O8))),0)</f>
        <v>0</v>
      </c>
      <c r="AA8" s="24">
        <f t="array" ref="AA8">IF(ISNUMBER(Q8),INDEX('hyper-reps-lookup-table'!$B$2:$AE$31,Q8,O8+1)*N8*(36/(37-(Q8+O8))),0)</f>
        <v>0</v>
      </c>
      <c r="AB8" s="24">
        <f t="array" ref="AB8">IF(ISNUMBER(R8),INDEX('hyper-reps-lookup-table'!$B$2:$AE$31,R8,O8+1)*N8*(36/(37-(R8+O8))),0)</f>
        <v>0</v>
      </c>
      <c r="AC8" s="24">
        <f t="array" ref="AC8">IF(ISNUMBER(S8),INDEX('hyper-reps-lookup-table'!$B$2:$AE$31,S8,O8+1)*N8*(36/(37-(S8+O8))),0)</f>
        <v>0</v>
      </c>
      <c r="AD8" s="24">
        <f t="array" ref="AD8">IF(ISNUMBER(T8),INDEX('hyper-reps-lookup-table'!$B$2:$AE$31,T8,O8+1)*N8*(36/(37-(T8+O8))),0)</f>
        <v>0</v>
      </c>
      <c r="AE8" s="24">
        <f t="array" ref="AE8">IF(ISNUMBER(U8),INDEX('hyper-reps-lookup-table'!$B$2:$AE$31,U8,O8+1)*N8*(36/(37-(U8+O8))),0)</f>
        <v>0</v>
      </c>
      <c r="AF8" s="24">
        <f t="array" ref="AF8">IF(ISNUMBER(V8),INDEX('hyper-reps-lookup-table'!$B$2:$AE$31,V8,O8+1)*N8*(36/(37-(V8+O8))),0)</f>
        <v>0</v>
      </c>
      <c r="AG8" s="24">
        <f t="array" ref="AG8">IF(ISNUMBER(W8),INDEX('hyper-reps-lookup-table'!$B$2:$AE$31,W8,O8+1)*N8*(36/(37-(W8+O8))),0)</f>
        <v>0</v>
      </c>
      <c r="AH8" s="24">
        <f t="array" ref="AH8">IF(ISNUMBER(X8),INDEX('hyper-reps-lookup-table'!$B$2:$AE$31,X8,O8+1)*N8*(36/(37-(X8+O8))),0)</f>
        <v>0</v>
      </c>
      <c r="AI8" s="24">
        <f t="array" ref="AI8">IF(ISNUMBER(Y8),INDEX('hyper-reps-lookup-table'!$B$2:$AE$31,Y8,O8+1)*N8*(36/(37-(Y8+O8))),0)</f>
        <v>0</v>
      </c>
      <c r="AJ8" s="55">
        <f t="shared" si="6"/>
        <v>0</v>
      </c>
      <c r="AK8" s="24">
        <f t="shared" si="7"/>
        <v>0</v>
      </c>
      <c r="AL8" s="24">
        <f t="shared" si="8"/>
        <v>0</v>
      </c>
      <c r="AM8" s="24">
        <f t="shared" si="9"/>
        <v>0</v>
      </c>
      <c r="AN8" s="24">
        <v>0.0</v>
      </c>
      <c r="AO8" s="24">
        <v>0.0</v>
      </c>
      <c r="AP8" s="5">
        <v>0.0</v>
      </c>
      <c r="AQ8" s="5">
        <v>0.0</v>
      </c>
      <c r="AR8" s="24">
        <v>0.0</v>
      </c>
      <c r="AS8" s="24">
        <v>0.0</v>
      </c>
      <c r="AT8" s="4" t="str">
        <f t="shared" si="10"/>
        <v>Single Leg Extension (RPT) [Unica]</v>
      </c>
      <c r="AU8" s="24">
        <f t="shared" si="11"/>
        <v>3</v>
      </c>
      <c r="AV8" s="24">
        <f t="shared" si="12"/>
        <v>3</v>
      </c>
      <c r="AW8" s="23"/>
      <c r="AX8" s="5">
        <f t="shared" si="13"/>
        <v>0</v>
      </c>
      <c r="AY8" s="5">
        <f t="shared" si="14"/>
        <v>2.5</v>
      </c>
      <c r="AZ8" s="23">
        <v>0.0</v>
      </c>
      <c r="BA8" s="56"/>
      <c r="BB8" s="56"/>
      <c r="BC8" s="56"/>
      <c r="BD8" s="56"/>
      <c r="BE8" s="57"/>
      <c r="BF8" s="57"/>
      <c r="BG8" s="57"/>
      <c r="BH8" s="57"/>
      <c r="BI8" s="57"/>
      <c r="BJ8" s="57"/>
      <c r="BK8" s="24">
        <f t="array" ref="BK8">IF(ISNUMBER(BA8),INDEX('hyper-reps-lookup-table'!$B$2:$AE$31,BA8,AZ8+1)*AY8*(36/(37-(BA8+AZ8))),0)</f>
        <v>0</v>
      </c>
      <c r="BL8" s="24">
        <f t="array" ref="BL8">IF(ISNUMBER(BB8),INDEX('hyper-reps-lookup-table'!$B$2:$AE$31,BB8,AZ8+1)*AY8*(36/(37-(BB8+AZ8))),0)</f>
        <v>0</v>
      </c>
      <c r="BM8" s="24">
        <f t="array" ref="BM8">IF(ISNUMBER(BC8),INDEX('hyper-reps-lookup-table'!$B$2:$AE$31,BC8,AZ8+1)*AY8*(36/(37-(BC8+AZ8))),0)</f>
        <v>0</v>
      </c>
      <c r="BN8" s="24">
        <f t="array" ref="BN8">IF(ISNUMBER(BD8),INDEX('hyper-reps-lookup-table'!$B$2:$AE$31,BD8,AZ8+1)*AY8*(36/(37-(BD8+AZ8))),0)</f>
        <v>0</v>
      </c>
      <c r="BO8" s="24">
        <f t="array" ref="BO8">IF(ISNUMBER(BE8),INDEX('hyper-reps-lookup-table'!$B$2:$AE$31,BE8,AZ8+1)*AY8*(36/(37-(BE8+AZ8))),0)</f>
        <v>0</v>
      </c>
      <c r="BP8" s="24">
        <f t="array" ref="BP8">IF(ISNUMBER(BF8),INDEX('hyper-reps-lookup-table'!$B$2:$AE$31,BF8,AZ8+1)*AY8*(36/(37-(BF8+AZ8))),0)</f>
        <v>0</v>
      </c>
      <c r="BQ8" s="24">
        <f t="array" ref="BQ8">IF(ISNUMBER(BG8),INDEX('hyper-reps-lookup-table'!$B$2:$AE$31,BG8,AZ8+1)*AY8*(36/(37-(BG8+AZ8))),0)</f>
        <v>0</v>
      </c>
      <c r="BR8" s="24">
        <f t="array" ref="BR8">IF(ISNUMBER(BH8),INDEX('hyper-reps-lookup-table'!$B$2:$AE$31,BH8,AZ8+1)*AY8*(36/(37-(BH8+AZ8))),0)</f>
        <v>0</v>
      </c>
      <c r="BS8" s="24">
        <f t="array" ref="BS8">IF(ISNUMBER(BI8),INDEX('hyper-reps-lookup-table'!$B$2:$AE$31,BI8,AZ8+1)*AY8*(36/(37-(BI8+AZ8))),0)</f>
        <v>0</v>
      </c>
      <c r="BT8" s="24">
        <f t="array" ref="BT8">IF(ISNUMBER(BJ8),INDEX('hyper-reps-lookup-table'!$B$2:$AE$31,BJ8,AZ8+1)*AY8*(36/(37-(BJ8+AZ8))),0)</f>
        <v>0</v>
      </c>
      <c r="BU8" s="55">
        <f t="shared" si="15"/>
        <v>0</v>
      </c>
      <c r="BV8" s="24">
        <f t="shared" si="16"/>
        <v>0</v>
      </c>
      <c r="BW8" s="24">
        <f t="shared" si="17"/>
        <v>0</v>
      </c>
      <c r="BX8" s="24">
        <f t="shared" si="18"/>
        <v>0</v>
      </c>
      <c r="BY8" s="24">
        <f t="shared" si="19"/>
        <v>0</v>
      </c>
      <c r="BZ8" s="24">
        <f t="shared" si="20"/>
        <v>0</v>
      </c>
      <c r="CA8" s="5">
        <f t="shared" si="21"/>
        <v>0</v>
      </c>
      <c r="CB8" s="5">
        <f t="shared" si="22"/>
        <v>0</v>
      </c>
      <c r="CC8" s="24">
        <f t="shared" si="23"/>
        <v>0</v>
      </c>
      <c r="CD8" s="24">
        <f t="shared" si="24"/>
        <v>0</v>
      </c>
      <c r="CE8" s="4" t="str">
        <f t="shared" si="25"/>
        <v>Single Leg Extension (RPT) [Unica]</v>
      </c>
      <c r="CF8" s="23"/>
      <c r="CG8" s="24">
        <f t="shared" si="26"/>
        <v>3</v>
      </c>
      <c r="CH8" s="23"/>
      <c r="CI8" s="5">
        <f t="shared" si="27"/>
        <v>0</v>
      </c>
      <c r="CJ8" s="5">
        <f t="shared" si="28"/>
        <v>2.5</v>
      </c>
      <c r="CK8" s="23">
        <v>0.0</v>
      </c>
      <c r="CL8" s="56"/>
      <c r="CM8" s="56"/>
      <c r="CN8" s="56"/>
      <c r="CO8" s="56"/>
      <c r="CP8" s="57"/>
      <c r="CQ8" s="57"/>
      <c r="CR8" s="57"/>
      <c r="CS8" s="57"/>
      <c r="CT8" s="57"/>
      <c r="CU8" s="57"/>
      <c r="CV8" s="24">
        <f t="array" ref="CV8">IF(ISNUMBER(CL8),INDEX('hyper-reps-lookup-table'!$B$2:$AE$31,CL8,CK8+1)*CJ8*(36/(37-(CL8+CK8))),0)</f>
        <v>0</v>
      </c>
      <c r="CW8" s="24">
        <f t="array" ref="CW8">IF(ISNUMBER(CM8),INDEX('hyper-reps-lookup-table'!$B$2:$AE$31,CM8,CK8+1)*CJ8*(36/(37-(CM8+CK8))),0)</f>
        <v>0</v>
      </c>
      <c r="CX8" s="24">
        <f t="array" ref="CX8">IF(ISNUMBER(CN8),INDEX('hyper-reps-lookup-table'!$B$2:$AE$31,CN8,CK8+1)*CJ8*(36/(37-(CN8+CK8))),0)</f>
        <v>0</v>
      </c>
      <c r="CY8" s="24">
        <f t="array" ref="CY8">IF(ISNUMBER(CO8),INDEX('hyper-reps-lookup-table'!$B$2:$AE$31,CO8,CK8+1)*CJ8*(36/(37-(CO8+CK8))),0)</f>
        <v>0</v>
      </c>
      <c r="CZ8" s="24">
        <f t="array" ref="CZ8">IF(ISNUMBER(CP8),INDEX('hyper-reps-lookup-table'!$B$2:$AE$31,CP8,CK8+1)*CJ8*(36/(37-(CP8+CK8))),0)</f>
        <v>0</v>
      </c>
      <c r="DA8" s="24">
        <f t="array" ref="DA8">IF(ISNUMBER(CQ8),INDEX('hyper-reps-lookup-table'!$B$2:$AE$31,CQ8,CK8+1)*CJ8*(36/(37-(CQ8+CK8))),0)</f>
        <v>0</v>
      </c>
      <c r="DB8" s="24">
        <f t="array" ref="DB8">IF(ISNUMBER(CR8),INDEX('hyper-reps-lookup-table'!$B$2:$AE$31,CR8,CK8+1)*CJ8*(36/(37-(CR8+CK8))),0)</f>
        <v>0</v>
      </c>
      <c r="DC8" s="24">
        <f t="array" ref="DC8">IF(ISNUMBER(CS8),INDEX('hyper-reps-lookup-table'!$B$2:$AE$31,CS8,CK8+1)*CJ8*(36/(37-(CS8+CK8))),0)</f>
        <v>0</v>
      </c>
      <c r="DD8" s="24">
        <f t="array" ref="DD8">IF(ISNUMBER(CT8),INDEX('hyper-reps-lookup-table'!$B$2:$AE$31,CT8,CK8+1)*CJ8*(36/(37-(CT8+CK8))),0)</f>
        <v>0</v>
      </c>
      <c r="DE8" s="24">
        <f t="array" ref="DE8">IF(ISNUMBER(CU8),INDEX('hyper-reps-lookup-table'!$B$2:$AE$31,CU8,CK8+1)*CJ8*(36/(37-(CU8+CK8))),0)</f>
        <v>0</v>
      </c>
      <c r="DF8" s="55">
        <f t="shared" si="29"/>
        <v>0</v>
      </c>
      <c r="DG8" s="24">
        <f t="shared" si="30"/>
        <v>0</v>
      </c>
      <c r="DH8" s="24">
        <f t="shared" si="31"/>
        <v>0</v>
      </c>
      <c r="DI8" s="24">
        <f t="shared" si="32"/>
        <v>0</v>
      </c>
      <c r="DJ8" s="24">
        <f t="shared" si="33"/>
        <v>0</v>
      </c>
      <c r="DK8" s="24">
        <f t="shared" si="34"/>
        <v>0</v>
      </c>
      <c r="DL8" s="5">
        <f t="shared" si="35"/>
        <v>0</v>
      </c>
      <c r="DM8" s="5">
        <f t="shared" si="36"/>
        <v>0</v>
      </c>
      <c r="DN8" s="24">
        <f t="shared" si="37"/>
        <v>0</v>
      </c>
      <c r="DO8" s="24">
        <f t="shared" si="38"/>
        <v>0</v>
      </c>
      <c r="DP8" s="4" t="str">
        <f t="shared" si="39"/>
        <v>Single Leg Extension (RPT) [Unica]</v>
      </c>
      <c r="DQ8" s="24"/>
      <c r="DR8" s="24">
        <f t="shared" si="40"/>
        <v>3</v>
      </c>
      <c r="DS8" s="23"/>
      <c r="DT8" s="5">
        <f t="shared" si="41"/>
        <v>0</v>
      </c>
      <c r="DU8" s="5">
        <f t="shared" si="42"/>
        <v>2.5</v>
      </c>
      <c r="DV8" s="23">
        <v>0.0</v>
      </c>
      <c r="DW8" s="56"/>
      <c r="DX8" s="56"/>
      <c r="DY8" s="56"/>
      <c r="DZ8" s="56"/>
      <c r="EA8" s="57"/>
      <c r="EB8" s="57"/>
      <c r="EC8" s="57"/>
      <c r="ED8" s="57"/>
      <c r="EE8" s="57"/>
      <c r="EF8" s="57"/>
      <c r="EG8" s="24">
        <f t="array" ref="EG8">IF(ISNUMBER(DW8),INDEX('hyper-reps-lookup-table'!$B$2:$AE$31,DW8,DV8+1)*DU8*(36/(37-(DW8+DV8))),0)</f>
        <v>0</v>
      </c>
      <c r="EH8" s="24">
        <f t="array" ref="EH8">IF(ISNUMBER(DX8),INDEX('hyper-reps-lookup-table'!$B$2:$AE$31,DX8,DV8+1)*DU8*(36/(37-(DX8+DV8))),0)</f>
        <v>0</v>
      </c>
      <c r="EI8" s="24">
        <f t="array" ref="EI8">IF(ISNUMBER(DY8),INDEX('hyper-reps-lookup-table'!$B$2:$AE$31,DY8,DV8+1)*DU8*(36/(37-(DY8+DV8))),0)</f>
        <v>0</v>
      </c>
      <c r="EJ8" s="24">
        <f t="array" ref="EJ8">IF(ISNUMBER(DZ8),INDEX('hyper-reps-lookup-table'!$B$2:$AE$31,DZ8,DV8+1)*DU8*(36/(37-(DZ8+DV8))),0)</f>
        <v>0</v>
      </c>
      <c r="EK8" s="24">
        <f t="array" ref="EK8">IF(ISNUMBER(EA8),INDEX('hyper-reps-lookup-table'!$B$2:$AE$31,EA8,DV8+1)*DU8*(36/(37-(EA8+DV8))),0)</f>
        <v>0</v>
      </c>
      <c r="EL8" s="24">
        <f t="array" ref="EL8">IF(ISNUMBER(EB8),INDEX('hyper-reps-lookup-table'!$B$2:$AE$31,EB8,DV8+1)*DU8*(36/(37-(EB8+DV8))),0)</f>
        <v>0</v>
      </c>
      <c r="EM8" s="24">
        <f t="array" ref="EM8">IF(ISNUMBER(EC8),INDEX('hyper-reps-lookup-table'!$B$2:$AE$31,EC8,DV8+1)*DU8*(36/(37-(EC8+DV8))),0)</f>
        <v>0</v>
      </c>
      <c r="EN8" s="24">
        <f t="array" ref="EN8">IF(ISNUMBER(ED8),INDEX('hyper-reps-lookup-table'!$B$2:$AE$31,ED8,DV8+1)*DU8*(36/(37-(ED8+DV8))),0)</f>
        <v>0</v>
      </c>
      <c r="EO8" s="24">
        <f t="array" ref="EO8">IF(ISNUMBER(EE8),INDEX('hyper-reps-lookup-table'!$B$2:$AE$31,EE8,DV8+1)*DU8*(36/(37-(EE8+DV8))),0)</f>
        <v>0</v>
      </c>
      <c r="EP8" s="24">
        <f t="array" ref="EP8">IF(ISNUMBER(EF8),INDEX('hyper-reps-lookup-table'!$B$2:$AE$31,EF8,DV8+1)*DU8*(36/(37-(EF8+DV8))),0)</f>
        <v>0</v>
      </c>
      <c r="EQ8" s="55">
        <f t="shared" si="43"/>
        <v>0</v>
      </c>
      <c r="ER8" s="24">
        <f t="shared" si="44"/>
        <v>0</v>
      </c>
      <c r="ES8" s="24">
        <f t="shared" si="45"/>
        <v>0</v>
      </c>
      <c r="ET8" s="24">
        <f t="shared" si="46"/>
        <v>0</v>
      </c>
      <c r="EU8" s="24">
        <f t="shared" si="47"/>
        <v>0</v>
      </c>
      <c r="EV8" s="24">
        <f t="shared" si="48"/>
        <v>0</v>
      </c>
      <c r="EW8" s="5">
        <f t="shared" si="49"/>
        <v>0</v>
      </c>
      <c r="EX8" s="5">
        <f t="shared" si="50"/>
        <v>0</v>
      </c>
      <c r="EY8" s="24">
        <f t="shared" si="51"/>
        <v>0</v>
      </c>
      <c r="EZ8" s="24">
        <f t="shared" si="52"/>
        <v>0</v>
      </c>
      <c r="FA8" s="14"/>
    </row>
    <row r="9">
      <c r="A9" s="13"/>
      <c r="B9" s="27" t="s">
        <v>56</v>
      </c>
      <c r="C9" s="23">
        <v>100.0</v>
      </c>
      <c r="D9" s="29">
        <v>0.75</v>
      </c>
      <c r="E9" s="29">
        <v>0.8</v>
      </c>
      <c r="F9" s="23">
        <v>3.0</v>
      </c>
      <c r="G9" s="33">
        <v>90.0</v>
      </c>
      <c r="H9" s="33">
        <v>2.5</v>
      </c>
      <c r="I9" s="4" t="str">
        <f t="shared" si="1"/>
        <v>Single Leg Curl (RPT) [Unica]</v>
      </c>
      <c r="J9" s="27">
        <f t="shared" si="2"/>
        <v>1</v>
      </c>
      <c r="K9" s="24">
        <f t="shared" si="3"/>
        <v>1</v>
      </c>
      <c r="L9" s="28"/>
      <c r="M9" s="5">
        <f t="shared" si="4"/>
        <v>75</v>
      </c>
      <c r="N9" s="5">
        <f t="shared" si="5"/>
        <v>75</v>
      </c>
      <c r="O9" s="23">
        <v>0.0</v>
      </c>
      <c r="P9" s="23"/>
      <c r="Q9" s="23"/>
      <c r="R9" s="23"/>
      <c r="S9" s="24"/>
      <c r="T9" s="24"/>
      <c r="U9" s="24"/>
      <c r="V9" s="24"/>
      <c r="W9" s="24"/>
      <c r="X9" s="24"/>
      <c r="Y9" s="24"/>
      <c r="Z9" s="24">
        <f t="array" ref="Z9">IF(ISNUMBER(P9),INDEX('hyper-reps-lookup-table'!$B$2:$AE$31,P9,O9+1)*N9*(36/(37-(P9+O9))),0)</f>
        <v>0</v>
      </c>
      <c r="AA9" s="24">
        <f t="array" ref="AA9">IF(ISNUMBER(Q9),INDEX('hyper-reps-lookup-table'!$B$2:$AE$31,Q9,O9+1)*N9*(36/(37-(Q9+O9))),0)</f>
        <v>0</v>
      </c>
      <c r="AB9" s="24">
        <f t="array" ref="AB9">IF(ISNUMBER(R9),INDEX('hyper-reps-lookup-table'!$B$2:$AE$31,R9,O9+1)*N9*(36/(37-(R9+O9))),0)</f>
        <v>0</v>
      </c>
      <c r="AC9" s="24">
        <f t="array" ref="AC9">IF(ISNUMBER(S9),INDEX('hyper-reps-lookup-table'!$B$2:$AE$31,S9,O9+1)*N9*(36/(37-(S9+O9))),0)</f>
        <v>0</v>
      </c>
      <c r="AD9" s="24">
        <f t="array" ref="AD9">IF(ISNUMBER(T9),INDEX('hyper-reps-lookup-table'!$B$2:$AE$31,T9,O9+1)*N9*(36/(37-(T9+O9))),0)</f>
        <v>0</v>
      </c>
      <c r="AE9" s="24">
        <f t="array" ref="AE9">IF(ISNUMBER(U9),INDEX('hyper-reps-lookup-table'!$B$2:$AE$31,U9,O9+1)*N9*(36/(37-(U9+O9))),0)</f>
        <v>0</v>
      </c>
      <c r="AF9" s="24">
        <f t="array" ref="AF9">IF(ISNUMBER(V9),INDEX('hyper-reps-lookup-table'!$B$2:$AE$31,V9,O9+1)*N9*(36/(37-(V9+O9))),0)</f>
        <v>0</v>
      </c>
      <c r="AG9" s="24">
        <f t="array" ref="AG9">IF(ISNUMBER(W9),INDEX('hyper-reps-lookup-table'!$B$2:$AE$31,W9,O9+1)*N9*(36/(37-(W9+O9))),0)</f>
        <v>0</v>
      </c>
      <c r="AH9" s="24">
        <f t="array" ref="AH9">IF(ISNUMBER(X9),INDEX('hyper-reps-lookup-table'!$B$2:$AE$31,X9,O9+1)*N9*(36/(37-(X9+O9))),0)</f>
        <v>0</v>
      </c>
      <c r="AI9" s="24">
        <f t="array" ref="AI9">IF(ISNUMBER(Y9),INDEX('hyper-reps-lookup-table'!$B$2:$AE$31,Y9,O9+1)*N9*(36/(37-(Y9+O9))),0)</f>
        <v>0</v>
      </c>
      <c r="AJ9" s="55">
        <f t="shared" si="6"/>
        <v>0</v>
      </c>
      <c r="AK9" s="24">
        <f t="shared" si="7"/>
        <v>0</v>
      </c>
      <c r="AL9" s="24">
        <f t="shared" si="8"/>
        <v>0</v>
      </c>
      <c r="AM9" s="24">
        <f t="shared" si="9"/>
        <v>0</v>
      </c>
      <c r="AN9" s="24">
        <v>0.0</v>
      </c>
      <c r="AO9" s="24">
        <v>0.0</v>
      </c>
      <c r="AP9" s="5">
        <v>0.0</v>
      </c>
      <c r="AQ9" s="5">
        <v>0.0</v>
      </c>
      <c r="AR9" s="24">
        <v>0.0</v>
      </c>
      <c r="AS9" s="24">
        <v>0.0</v>
      </c>
      <c r="AT9" s="4" t="str">
        <f t="shared" si="10"/>
        <v>Single Leg Curl (RPT) [Unica]</v>
      </c>
      <c r="AU9" s="24">
        <f t="shared" si="11"/>
        <v>3</v>
      </c>
      <c r="AV9" s="24">
        <f t="shared" si="12"/>
        <v>3</v>
      </c>
      <c r="AW9" s="23"/>
      <c r="AX9" s="5">
        <f t="shared" si="13"/>
        <v>0</v>
      </c>
      <c r="AY9" s="5">
        <f t="shared" si="14"/>
        <v>2.5</v>
      </c>
      <c r="AZ9" s="23">
        <v>0.0</v>
      </c>
      <c r="BA9" s="56"/>
      <c r="BB9" s="56"/>
      <c r="BC9" s="56"/>
      <c r="BD9" s="57"/>
      <c r="BE9" s="57"/>
      <c r="BF9" s="57"/>
      <c r="BG9" s="57"/>
      <c r="BH9" s="57"/>
      <c r="BI9" s="57"/>
      <c r="BJ9" s="57"/>
      <c r="BK9" s="24">
        <f t="array" ref="BK9">IF(ISNUMBER(BA9),INDEX('hyper-reps-lookup-table'!$B$2:$AE$31,BA9,AZ9+1)*AY9*(36/(37-(BA9+AZ9))),0)</f>
        <v>0</v>
      </c>
      <c r="BL9" s="24">
        <f t="array" ref="BL9">IF(ISNUMBER(BB9),INDEX('hyper-reps-lookup-table'!$B$2:$AE$31,BB9,AZ9+1)*AY9*(36/(37-(BB9+AZ9))),0)</f>
        <v>0</v>
      </c>
      <c r="BM9" s="24">
        <f t="array" ref="BM9">IF(ISNUMBER(BC9),INDEX('hyper-reps-lookup-table'!$B$2:$AE$31,BC9,AZ9+1)*AY9*(36/(37-(BC9+AZ9))),0)</f>
        <v>0</v>
      </c>
      <c r="BN9" s="24">
        <f t="array" ref="BN9">IF(ISNUMBER(BD9),INDEX('hyper-reps-lookup-table'!$B$2:$AE$31,BD9,AZ9+1)*AY9*(36/(37-(BD9+AZ9))),0)</f>
        <v>0</v>
      </c>
      <c r="BO9" s="24">
        <f t="array" ref="BO9">IF(ISNUMBER(BE9),INDEX('hyper-reps-lookup-table'!$B$2:$AE$31,BE9,AZ9+1)*AY9*(36/(37-(BE9+AZ9))),0)</f>
        <v>0</v>
      </c>
      <c r="BP9" s="24">
        <f t="array" ref="BP9">IF(ISNUMBER(BF9),INDEX('hyper-reps-lookup-table'!$B$2:$AE$31,BF9,AZ9+1)*AY9*(36/(37-(BF9+AZ9))),0)</f>
        <v>0</v>
      </c>
      <c r="BQ9" s="24">
        <f t="array" ref="BQ9">IF(ISNUMBER(BG9),INDEX('hyper-reps-lookup-table'!$B$2:$AE$31,BG9,AZ9+1)*AY9*(36/(37-(BG9+AZ9))),0)</f>
        <v>0</v>
      </c>
      <c r="BR9" s="24">
        <f t="array" ref="BR9">IF(ISNUMBER(BH9),INDEX('hyper-reps-lookup-table'!$B$2:$AE$31,BH9,AZ9+1)*AY9*(36/(37-(BH9+AZ9))),0)</f>
        <v>0</v>
      </c>
      <c r="BS9" s="24">
        <f t="array" ref="BS9">IF(ISNUMBER(BI9),INDEX('hyper-reps-lookup-table'!$B$2:$AE$31,BI9,AZ9+1)*AY9*(36/(37-(BI9+AZ9))),0)</f>
        <v>0</v>
      </c>
      <c r="BT9" s="24">
        <f t="array" ref="BT9">IF(ISNUMBER(BJ9),INDEX('hyper-reps-lookup-table'!$B$2:$AE$31,BJ9,AZ9+1)*AY9*(36/(37-(BJ9+AZ9))),0)</f>
        <v>0</v>
      </c>
      <c r="BU9" s="55">
        <f t="shared" si="15"/>
        <v>0</v>
      </c>
      <c r="BV9" s="24">
        <f t="shared" si="16"/>
        <v>0</v>
      </c>
      <c r="BW9" s="24">
        <f t="shared" si="17"/>
        <v>0</v>
      </c>
      <c r="BX9" s="24">
        <f t="shared" si="18"/>
        <v>0</v>
      </c>
      <c r="BY9" s="24">
        <f t="shared" si="19"/>
        <v>0</v>
      </c>
      <c r="BZ9" s="24">
        <f t="shared" si="20"/>
        <v>0</v>
      </c>
      <c r="CA9" s="5">
        <f t="shared" si="21"/>
        <v>0</v>
      </c>
      <c r="CB9" s="5">
        <f t="shared" si="22"/>
        <v>0</v>
      </c>
      <c r="CC9" s="24">
        <f t="shared" si="23"/>
        <v>0</v>
      </c>
      <c r="CD9" s="24">
        <f t="shared" si="24"/>
        <v>0</v>
      </c>
      <c r="CE9" s="4" t="str">
        <f t="shared" si="25"/>
        <v>Single Leg Curl (RPT) [Unica]</v>
      </c>
      <c r="CF9" s="23"/>
      <c r="CG9" s="24">
        <f t="shared" si="26"/>
        <v>3</v>
      </c>
      <c r="CH9" s="23"/>
      <c r="CI9" s="5">
        <f t="shared" si="27"/>
        <v>0</v>
      </c>
      <c r="CJ9" s="5">
        <f t="shared" si="28"/>
        <v>2.5</v>
      </c>
      <c r="CK9" s="23">
        <v>0.0</v>
      </c>
      <c r="CL9" s="56"/>
      <c r="CM9" s="56"/>
      <c r="CN9" s="56"/>
      <c r="CO9" s="57"/>
      <c r="CP9" s="57"/>
      <c r="CQ9" s="57"/>
      <c r="CR9" s="57"/>
      <c r="CS9" s="57"/>
      <c r="CT9" s="57"/>
      <c r="CU9" s="57"/>
      <c r="CV9" s="24">
        <f t="array" ref="CV9">IF(ISNUMBER(CL9),INDEX('hyper-reps-lookup-table'!$B$2:$AE$31,CL9,CK9+1)*CJ9*(36/(37-(CL9+CK9))),0)</f>
        <v>0</v>
      </c>
      <c r="CW9" s="24">
        <f t="array" ref="CW9">IF(ISNUMBER(CM9),INDEX('hyper-reps-lookup-table'!$B$2:$AE$31,CM9,CK9+1)*CJ9*(36/(37-(CM9+CK9))),0)</f>
        <v>0</v>
      </c>
      <c r="CX9" s="24">
        <f t="array" ref="CX9">IF(ISNUMBER(CN9),INDEX('hyper-reps-lookup-table'!$B$2:$AE$31,CN9,CK9+1)*CJ9*(36/(37-(CN9+CK9))),0)</f>
        <v>0</v>
      </c>
      <c r="CY9" s="24">
        <f t="array" ref="CY9">IF(ISNUMBER(CO9),INDEX('hyper-reps-lookup-table'!$B$2:$AE$31,CO9,CK9+1)*CJ9*(36/(37-(CO9+CK9))),0)</f>
        <v>0</v>
      </c>
      <c r="CZ9" s="24">
        <f t="array" ref="CZ9">IF(ISNUMBER(CP9),INDEX('hyper-reps-lookup-table'!$B$2:$AE$31,CP9,CK9+1)*CJ9*(36/(37-(CP9+CK9))),0)</f>
        <v>0</v>
      </c>
      <c r="DA9" s="24">
        <f t="array" ref="DA9">IF(ISNUMBER(CQ9),INDEX('hyper-reps-lookup-table'!$B$2:$AE$31,CQ9,CK9+1)*CJ9*(36/(37-(CQ9+CK9))),0)</f>
        <v>0</v>
      </c>
      <c r="DB9" s="24">
        <f t="array" ref="DB9">IF(ISNUMBER(CR9),INDEX('hyper-reps-lookup-table'!$B$2:$AE$31,CR9,CK9+1)*CJ9*(36/(37-(CR9+CK9))),0)</f>
        <v>0</v>
      </c>
      <c r="DC9" s="24">
        <f t="array" ref="DC9">IF(ISNUMBER(CS9),INDEX('hyper-reps-lookup-table'!$B$2:$AE$31,CS9,CK9+1)*CJ9*(36/(37-(CS9+CK9))),0)</f>
        <v>0</v>
      </c>
      <c r="DD9" s="24">
        <f t="array" ref="DD9">IF(ISNUMBER(CT9),INDEX('hyper-reps-lookup-table'!$B$2:$AE$31,CT9,CK9+1)*CJ9*(36/(37-(CT9+CK9))),0)</f>
        <v>0</v>
      </c>
      <c r="DE9" s="24">
        <f t="array" ref="DE9">IF(ISNUMBER(CU9),INDEX('hyper-reps-lookup-table'!$B$2:$AE$31,CU9,CK9+1)*CJ9*(36/(37-(CU9+CK9))),0)</f>
        <v>0</v>
      </c>
      <c r="DF9" s="55">
        <f t="shared" si="29"/>
        <v>0</v>
      </c>
      <c r="DG9" s="24">
        <f t="shared" si="30"/>
        <v>0</v>
      </c>
      <c r="DH9" s="24">
        <f t="shared" si="31"/>
        <v>0</v>
      </c>
      <c r="DI9" s="24">
        <f t="shared" si="32"/>
        <v>0</v>
      </c>
      <c r="DJ9" s="24">
        <f t="shared" si="33"/>
        <v>0</v>
      </c>
      <c r="DK9" s="24">
        <f t="shared" si="34"/>
        <v>0</v>
      </c>
      <c r="DL9" s="5">
        <f t="shared" si="35"/>
        <v>0</v>
      </c>
      <c r="DM9" s="5">
        <f t="shared" si="36"/>
        <v>0</v>
      </c>
      <c r="DN9" s="24">
        <f t="shared" si="37"/>
        <v>0</v>
      </c>
      <c r="DO9" s="24">
        <f t="shared" si="38"/>
        <v>0</v>
      </c>
      <c r="DP9" s="4" t="str">
        <f t="shared" si="39"/>
        <v>Single Leg Curl (RPT) [Unica]</v>
      </c>
      <c r="DQ9" s="24"/>
      <c r="DR9" s="24">
        <f t="shared" si="40"/>
        <v>3</v>
      </c>
      <c r="DS9" s="23"/>
      <c r="DT9" s="5">
        <f t="shared" si="41"/>
        <v>0</v>
      </c>
      <c r="DU9" s="5">
        <f t="shared" si="42"/>
        <v>2.5</v>
      </c>
      <c r="DV9" s="23">
        <v>0.0</v>
      </c>
      <c r="DW9" s="56"/>
      <c r="DX9" s="56"/>
      <c r="DY9" s="56"/>
      <c r="DZ9" s="57"/>
      <c r="EA9" s="57"/>
      <c r="EB9" s="57"/>
      <c r="EC9" s="57"/>
      <c r="ED9" s="57"/>
      <c r="EE9" s="57"/>
      <c r="EF9" s="57"/>
      <c r="EG9" s="24">
        <f t="array" ref="EG9">IF(ISNUMBER(DW9),INDEX('hyper-reps-lookup-table'!$B$2:$AE$31,DW9,DV9+1)*DU9*(36/(37-(DW9+DV9))),0)</f>
        <v>0</v>
      </c>
      <c r="EH9" s="24">
        <f t="array" ref="EH9">IF(ISNUMBER(DX9),INDEX('hyper-reps-lookup-table'!$B$2:$AE$31,DX9,DV9+1)*DU9*(36/(37-(DX9+DV9))),0)</f>
        <v>0</v>
      </c>
      <c r="EI9" s="24">
        <f t="array" ref="EI9">IF(ISNUMBER(DY9),INDEX('hyper-reps-lookup-table'!$B$2:$AE$31,DY9,DV9+1)*DU9*(36/(37-(DY9+DV9))),0)</f>
        <v>0</v>
      </c>
      <c r="EJ9" s="24">
        <f t="array" ref="EJ9">IF(ISNUMBER(DZ9),INDEX('hyper-reps-lookup-table'!$B$2:$AE$31,DZ9,DV9+1)*DU9*(36/(37-(DZ9+DV9))),0)</f>
        <v>0</v>
      </c>
      <c r="EK9" s="24">
        <f t="array" ref="EK9">IF(ISNUMBER(EA9),INDEX('hyper-reps-lookup-table'!$B$2:$AE$31,EA9,DV9+1)*DU9*(36/(37-(EA9+DV9))),0)</f>
        <v>0</v>
      </c>
      <c r="EL9" s="24">
        <f t="array" ref="EL9">IF(ISNUMBER(EB9),INDEX('hyper-reps-lookup-table'!$B$2:$AE$31,EB9,DV9+1)*DU9*(36/(37-(EB9+DV9))),0)</f>
        <v>0</v>
      </c>
      <c r="EM9" s="24">
        <f t="array" ref="EM9">IF(ISNUMBER(EC9),INDEX('hyper-reps-lookup-table'!$B$2:$AE$31,EC9,DV9+1)*DU9*(36/(37-(EC9+DV9))),0)</f>
        <v>0</v>
      </c>
      <c r="EN9" s="24">
        <f t="array" ref="EN9">IF(ISNUMBER(ED9),INDEX('hyper-reps-lookup-table'!$B$2:$AE$31,ED9,DV9+1)*DU9*(36/(37-(ED9+DV9))),0)</f>
        <v>0</v>
      </c>
      <c r="EO9" s="24">
        <f t="array" ref="EO9">IF(ISNUMBER(EE9),INDEX('hyper-reps-lookup-table'!$B$2:$AE$31,EE9,DV9+1)*DU9*(36/(37-(EE9+DV9))),0)</f>
        <v>0</v>
      </c>
      <c r="EP9" s="24">
        <f t="array" ref="EP9">IF(ISNUMBER(EF9),INDEX('hyper-reps-lookup-table'!$B$2:$AE$31,EF9,DV9+1)*DU9*(36/(37-(EF9+DV9))),0)</f>
        <v>0</v>
      </c>
      <c r="EQ9" s="55">
        <f t="shared" si="43"/>
        <v>0</v>
      </c>
      <c r="ER9" s="24">
        <f t="shared" si="44"/>
        <v>0</v>
      </c>
      <c r="ES9" s="24">
        <f t="shared" si="45"/>
        <v>0</v>
      </c>
      <c r="ET9" s="24">
        <f t="shared" si="46"/>
        <v>0</v>
      </c>
      <c r="EU9" s="24">
        <f t="shared" si="47"/>
        <v>0</v>
      </c>
      <c r="EV9" s="24">
        <f t="shared" si="48"/>
        <v>0</v>
      </c>
      <c r="EW9" s="5">
        <f t="shared" si="49"/>
        <v>0</v>
      </c>
      <c r="EX9" s="5">
        <f t="shared" si="50"/>
        <v>0</v>
      </c>
      <c r="EY9" s="24">
        <f t="shared" si="51"/>
        <v>0</v>
      </c>
      <c r="EZ9" s="24">
        <f t="shared" si="52"/>
        <v>0</v>
      </c>
      <c r="FA9" s="14"/>
    </row>
    <row r="10">
      <c r="A10" s="13"/>
      <c r="B10" s="3"/>
      <c r="C10" s="3"/>
      <c r="D10" s="3"/>
      <c r="E10" s="3"/>
      <c r="F10" s="3"/>
      <c r="G10" s="3"/>
      <c r="H10" s="3"/>
      <c r="I10" s="46" t="str">
        <f>I3</f>
        <v>Week 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8"/>
      <c r="AT10" s="46" t="str">
        <f>AT3</f>
        <v>Week 2</v>
      </c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8"/>
      <c r="CE10" s="46" t="str">
        <f>CE3</f>
        <v>Week 3</v>
      </c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8"/>
      <c r="DP10" s="46" t="str">
        <f>DP3</f>
        <v>Week 4</v>
      </c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8"/>
      <c r="FA10" s="47"/>
    </row>
    <row r="11">
      <c r="A11" s="13"/>
      <c r="B11" s="3"/>
      <c r="C11" s="3"/>
      <c r="D11" s="3"/>
      <c r="E11" s="3"/>
      <c r="F11" s="3"/>
      <c r="G11" s="3"/>
      <c r="H11" s="3"/>
      <c r="I11" s="58" t="s">
        <v>1</v>
      </c>
      <c r="J11" s="18" t="s">
        <v>32</v>
      </c>
      <c r="K11" s="18" t="s">
        <v>2</v>
      </c>
      <c r="L11" s="48" t="s">
        <v>33</v>
      </c>
      <c r="M11" s="18" t="s">
        <v>34</v>
      </c>
      <c r="N11" s="18" t="s">
        <v>3</v>
      </c>
      <c r="O11" s="18" t="s">
        <v>35</v>
      </c>
      <c r="P11" s="49" t="s">
        <v>36</v>
      </c>
      <c r="Q11" s="7"/>
      <c r="R11" s="7"/>
      <c r="S11" s="7"/>
      <c r="T11" s="7"/>
      <c r="U11" s="7"/>
      <c r="V11" s="7"/>
      <c r="W11" s="7"/>
      <c r="X11" s="7"/>
      <c r="Y11" s="8"/>
      <c r="Z11" s="49" t="s">
        <v>6</v>
      </c>
      <c r="AA11" s="7"/>
      <c r="AB11" s="7"/>
      <c r="AC11" s="7"/>
      <c r="AD11" s="7"/>
      <c r="AE11" s="7"/>
      <c r="AF11" s="7"/>
      <c r="AG11" s="7"/>
      <c r="AH11" s="7"/>
      <c r="AI11" s="8"/>
      <c r="AJ11" s="50" t="s">
        <v>37</v>
      </c>
      <c r="AK11" s="50" t="s">
        <v>38</v>
      </c>
      <c r="AL11" s="50" t="s">
        <v>39</v>
      </c>
      <c r="AM11" s="50" t="s">
        <v>6</v>
      </c>
      <c r="AN11" s="50" t="s">
        <v>40</v>
      </c>
      <c r="AO11" s="50" t="s">
        <v>41</v>
      </c>
      <c r="AP11" s="48" t="s">
        <v>42</v>
      </c>
      <c r="AQ11" s="48" t="s">
        <v>43</v>
      </c>
      <c r="AR11" s="50" t="s">
        <v>44</v>
      </c>
      <c r="AS11" s="50" t="s">
        <v>45</v>
      </c>
      <c r="AT11" s="18" t="s">
        <v>1</v>
      </c>
      <c r="AU11" s="18" t="s">
        <v>32</v>
      </c>
      <c r="AV11" s="18" t="s">
        <v>2</v>
      </c>
      <c r="AW11" s="18" t="s">
        <v>33</v>
      </c>
      <c r="AX11" s="48" t="s">
        <v>34</v>
      </c>
      <c r="AY11" s="18" t="s">
        <v>3</v>
      </c>
      <c r="AZ11" s="18" t="s">
        <v>35</v>
      </c>
      <c r="BA11" s="51" t="s">
        <v>36</v>
      </c>
      <c r="BB11" s="7"/>
      <c r="BC11" s="7"/>
      <c r="BD11" s="7"/>
      <c r="BE11" s="7"/>
      <c r="BF11" s="7"/>
      <c r="BG11" s="7"/>
      <c r="BH11" s="7"/>
      <c r="BI11" s="7"/>
      <c r="BJ11" s="8"/>
      <c r="BK11" s="49" t="s">
        <v>6</v>
      </c>
      <c r="BL11" s="7"/>
      <c r="BM11" s="7"/>
      <c r="BN11" s="7"/>
      <c r="BO11" s="7"/>
      <c r="BP11" s="7"/>
      <c r="BQ11" s="7"/>
      <c r="BR11" s="7"/>
      <c r="BS11" s="7"/>
      <c r="BT11" s="8"/>
      <c r="BU11" s="50" t="s">
        <v>37</v>
      </c>
      <c r="BV11" s="50" t="s">
        <v>38</v>
      </c>
      <c r="BW11" s="50" t="s">
        <v>39</v>
      </c>
      <c r="BX11" s="50" t="s">
        <v>6</v>
      </c>
      <c r="BY11" s="50" t="s">
        <v>40</v>
      </c>
      <c r="BZ11" s="50" t="s">
        <v>41</v>
      </c>
      <c r="CA11" s="48" t="s">
        <v>42</v>
      </c>
      <c r="CB11" s="48" t="s">
        <v>43</v>
      </c>
      <c r="CC11" s="50" t="s">
        <v>44</v>
      </c>
      <c r="CD11" s="50" t="s">
        <v>45</v>
      </c>
      <c r="CE11" s="18" t="s">
        <v>1</v>
      </c>
      <c r="CF11" s="18" t="s">
        <v>32</v>
      </c>
      <c r="CG11" s="18" t="s">
        <v>2</v>
      </c>
      <c r="CH11" s="18" t="s">
        <v>33</v>
      </c>
      <c r="CI11" s="48" t="s">
        <v>34</v>
      </c>
      <c r="CJ11" s="18" t="s">
        <v>3</v>
      </c>
      <c r="CK11" s="18" t="s">
        <v>35</v>
      </c>
      <c r="CL11" s="51" t="s">
        <v>36</v>
      </c>
      <c r="CM11" s="7"/>
      <c r="CN11" s="7"/>
      <c r="CO11" s="7"/>
      <c r="CP11" s="7"/>
      <c r="CQ11" s="7"/>
      <c r="CR11" s="7"/>
      <c r="CS11" s="7"/>
      <c r="CT11" s="7"/>
      <c r="CU11" s="8"/>
      <c r="CV11" s="49" t="s">
        <v>6</v>
      </c>
      <c r="CW11" s="7"/>
      <c r="CX11" s="7"/>
      <c r="CY11" s="7"/>
      <c r="CZ11" s="7"/>
      <c r="DA11" s="7"/>
      <c r="DB11" s="7"/>
      <c r="DC11" s="7"/>
      <c r="DD11" s="7"/>
      <c r="DE11" s="8"/>
      <c r="DF11" s="50" t="s">
        <v>37</v>
      </c>
      <c r="DG11" s="50" t="s">
        <v>38</v>
      </c>
      <c r="DH11" s="50" t="s">
        <v>39</v>
      </c>
      <c r="DI11" s="50" t="s">
        <v>6</v>
      </c>
      <c r="DJ11" s="50" t="s">
        <v>40</v>
      </c>
      <c r="DK11" s="50" t="s">
        <v>41</v>
      </c>
      <c r="DL11" s="48" t="s">
        <v>42</v>
      </c>
      <c r="DM11" s="48" t="s">
        <v>43</v>
      </c>
      <c r="DN11" s="50" t="s">
        <v>44</v>
      </c>
      <c r="DO11" s="50" t="s">
        <v>45</v>
      </c>
      <c r="DP11" s="18" t="s">
        <v>1</v>
      </c>
      <c r="DQ11" s="18" t="s">
        <v>32</v>
      </c>
      <c r="DR11" s="18" t="s">
        <v>2</v>
      </c>
      <c r="DS11" s="18" t="s">
        <v>33</v>
      </c>
      <c r="DT11" s="48" t="s">
        <v>34</v>
      </c>
      <c r="DU11" s="18" t="s">
        <v>3</v>
      </c>
      <c r="DV11" s="18" t="s">
        <v>35</v>
      </c>
      <c r="DW11" s="51" t="s">
        <v>36</v>
      </c>
      <c r="DX11" s="7"/>
      <c r="DY11" s="7"/>
      <c r="DZ11" s="7"/>
      <c r="EA11" s="7"/>
      <c r="EB11" s="7"/>
      <c r="EC11" s="7"/>
      <c r="ED11" s="7"/>
      <c r="EE11" s="7"/>
      <c r="EF11" s="8"/>
      <c r="EG11" s="49" t="s">
        <v>6</v>
      </c>
      <c r="EH11" s="7"/>
      <c r="EI11" s="7"/>
      <c r="EJ11" s="7"/>
      <c r="EK11" s="7"/>
      <c r="EL11" s="7"/>
      <c r="EM11" s="7"/>
      <c r="EN11" s="7"/>
      <c r="EO11" s="7"/>
      <c r="EP11" s="8"/>
      <c r="EQ11" s="50" t="s">
        <v>37</v>
      </c>
      <c r="ER11" s="50" t="s">
        <v>38</v>
      </c>
      <c r="ES11" s="50" t="s">
        <v>39</v>
      </c>
      <c r="ET11" s="50" t="s">
        <v>6</v>
      </c>
      <c r="EU11" s="50" t="s">
        <v>40</v>
      </c>
      <c r="EV11" s="50" t="s">
        <v>41</v>
      </c>
      <c r="EW11" s="48" t="s">
        <v>42</v>
      </c>
      <c r="EX11" s="48" t="s">
        <v>43</v>
      </c>
      <c r="EY11" s="50" t="s">
        <v>44</v>
      </c>
      <c r="EZ11" s="50" t="s">
        <v>45</v>
      </c>
      <c r="FA11" s="52"/>
    </row>
    <row r="12">
      <c r="A12" s="13"/>
      <c r="B12" s="53" t="s">
        <v>46</v>
      </c>
      <c r="C12" s="53" t="s">
        <v>7</v>
      </c>
      <c r="D12" s="59" t="s">
        <v>47</v>
      </c>
      <c r="E12" s="59" t="s">
        <v>48</v>
      </c>
      <c r="F12" s="53" t="s">
        <v>49</v>
      </c>
      <c r="G12" s="2" t="s">
        <v>50</v>
      </c>
      <c r="H12" s="53" t="s">
        <v>51</v>
      </c>
      <c r="I12" s="18" t="s">
        <v>57</v>
      </c>
      <c r="J12" s="18"/>
      <c r="K12" s="50"/>
      <c r="L12" s="48"/>
      <c r="M12" s="50"/>
      <c r="N12" s="50"/>
      <c r="O12" s="50"/>
      <c r="P12" s="49"/>
      <c r="Q12" s="7"/>
      <c r="R12" s="7"/>
      <c r="S12" s="7"/>
      <c r="T12" s="7"/>
      <c r="U12" s="7"/>
      <c r="V12" s="7"/>
      <c r="W12" s="7"/>
      <c r="X12" s="7"/>
      <c r="Y12" s="8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48"/>
      <c r="AQ12" s="48"/>
      <c r="AR12" s="50"/>
      <c r="AS12" s="50"/>
      <c r="AT12" s="18" t="s">
        <v>57</v>
      </c>
      <c r="AU12" s="18"/>
      <c r="AV12" s="50"/>
      <c r="AW12" s="50"/>
      <c r="AX12" s="48"/>
      <c r="AY12" s="50"/>
      <c r="AZ12" s="50"/>
      <c r="BA12" s="49"/>
      <c r="BB12" s="7"/>
      <c r="BC12" s="7"/>
      <c r="BD12" s="7"/>
      <c r="BE12" s="7"/>
      <c r="BF12" s="7"/>
      <c r="BG12" s="7"/>
      <c r="BH12" s="7"/>
      <c r="BI12" s="7"/>
      <c r="BJ12" s="8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48"/>
      <c r="CB12" s="48"/>
      <c r="CC12" s="50"/>
      <c r="CD12" s="50"/>
      <c r="CE12" s="18" t="s">
        <v>57</v>
      </c>
      <c r="CF12" s="18"/>
      <c r="CG12" s="50"/>
      <c r="CH12" s="50"/>
      <c r="CI12" s="48"/>
      <c r="CJ12" s="50"/>
      <c r="CK12" s="50"/>
      <c r="CL12" s="49"/>
      <c r="CM12" s="7"/>
      <c r="CN12" s="7"/>
      <c r="CO12" s="7"/>
      <c r="CP12" s="7"/>
      <c r="CQ12" s="7"/>
      <c r="CR12" s="7"/>
      <c r="CS12" s="7"/>
      <c r="CT12" s="7"/>
      <c r="CU12" s="8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48"/>
      <c r="DM12" s="48"/>
      <c r="DN12" s="50"/>
      <c r="DO12" s="50"/>
      <c r="DP12" s="18" t="s">
        <v>57</v>
      </c>
      <c r="DQ12" s="18"/>
      <c r="DR12" s="50"/>
      <c r="DS12" s="50"/>
      <c r="DT12" s="48"/>
      <c r="DU12" s="50"/>
      <c r="DV12" s="50"/>
      <c r="DW12" s="49"/>
      <c r="DX12" s="7"/>
      <c r="DY12" s="7"/>
      <c r="DZ12" s="7"/>
      <c r="EA12" s="7"/>
      <c r="EB12" s="7"/>
      <c r="EC12" s="7"/>
      <c r="ED12" s="7"/>
      <c r="EE12" s="7"/>
      <c r="EF12" s="8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48"/>
      <c r="EX12" s="48"/>
      <c r="EY12" s="50"/>
      <c r="EZ12" s="50"/>
      <c r="FA12" s="54"/>
    </row>
    <row r="13">
      <c r="A13" s="13"/>
      <c r="B13" s="27" t="s">
        <v>58</v>
      </c>
      <c r="C13" s="23">
        <v>100.0</v>
      </c>
      <c r="D13" s="29">
        <v>0.8</v>
      </c>
      <c r="E13" s="29">
        <v>0.85</v>
      </c>
      <c r="F13" s="23">
        <v>3.0</v>
      </c>
      <c r="G13" s="33">
        <v>180.0</v>
      </c>
      <c r="H13" s="33">
        <v>0.5</v>
      </c>
      <c r="I13" s="4" t="str">
        <f t="shared" ref="I13:I20" si="53">$B13</f>
        <v>Bench Press [Trainer+]</v>
      </c>
      <c r="J13" s="27">
        <f t="shared" ref="J13:J16" si="54">MAX(ROUND($F13*25%,0),1)</f>
        <v>1</v>
      </c>
      <c r="K13" s="24">
        <f t="shared" ref="K13:K20" si="55">IF(ISNUMBER(J13),J13,MAX(ROUND($F13,0),1))</f>
        <v>1</v>
      </c>
      <c r="L13" s="5"/>
      <c r="M13" s="5">
        <f t="shared" ref="M13:M20" si="56">IF(ISNUMBER(L13),L13,MIN(MAX(MROUND(C13*$D13,$H13),$H13),$G13))</f>
        <v>80</v>
      </c>
      <c r="N13" s="5">
        <f t="shared" ref="N13:N20" si="57">M13</f>
        <v>80</v>
      </c>
      <c r="O13" s="23">
        <v>0.0</v>
      </c>
      <c r="P13" s="23"/>
      <c r="Q13" s="23"/>
      <c r="R13" s="24"/>
      <c r="S13" s="24"/>
      <c r="T13" s="24"/>
      <c r="U13" s="24"/>
      <c r="V13" s="24"/>
      <c r="W13" s="24"/>
      <c r="X13" s="24"/>
      <c r="Y13" s="24"/>
      <c r="Z13" s="24">
        <f t="array" ref="Z13">IF(ISNUMBER(P13),INDEX('hyper-reps-lookup-table'!$B$2:$AE$31,P13,O13+1)*N13*(36/(37-(P13+O13))),0)</f>
        <v>0</v>
      </c>
      <c r="AA13" s="24">
        <f t="array" ref="AA13">IF(ISNUMBER(Q13),INDEX('hyper-reps-lookup-table'!$B$2:$AE$31,Q13,O13+1)*N13*(36/(37-(Q13+O13))),0)</f>
        <v>0</v>
      </c>
      <c r="AB13" s="24">
        <f t="array" ref="AB13">IF(ISNUMBER(R13),INDEX('hyper-reps-lookup-table'!$B$2:$AE$31,R13,O13+1)*N13*(36/(37-(R13+O13))),0)</f>
        <v>0</v>
      </c>
      <c r="AC13" s="24">
        <f t="array" ref="AC13">IF(ISNUMBER(S13),INDEX('hyper-reps-lookup-table'!$B$2:$AE$31,S13,O13+1)*N13*(36/(37-(S13+O13))),0)</f>
        <v>0</v>
      </c>
      <c r="AD13" s="24">
        <f t="array" ref="AD13">IF(ISNUMBER(T13),INDEX('hyper-reps-lookup-table'!$B$2:$AE$31,T13,O13+1)*N13*(36/(37-(T13+O13))),0)</f>
        <v>0</v>
      </c>
      <c r="AE13" s="24">
        <f t="array" ref="AE13">IF(ISNUMBER(U13),INDEX('hyper-reps-lookup-table'!$B$2:$AE$31,U13,O13+1)*N13*(36/(37-(U13+O13))),0)</f>
        <v>0</v>
      </c>
      <c r="AF13" s="24">
        <f t="array" ref="AF13">IF(ISNUMBER(V13),INDEX('hyper-reps-lookup-table'!$B$2:$AE$31,V13,O13+1)*N13*(36/(37-(V13+O13))),0)</f>
        <v>0</v>
      </c>
      <c r="AG13" s="24">
        <f t="array" ref="AG13">IF(ISNUMBER(W13),INDEX('hyper-reps-lookup-table'!$B$2:$AE$31,W13,O13+1)*N13*(36/(37-(W13+O13))),0)</f>
        <v>0</v>
      </c>
      <c r="AH13" s="24">
        <f t="array" ref="AH13">IF(ISNUMBER(X13),INDEX('hyper-reps-lookup-table'!$B$2:$AE$31,X13,O13+1)*N13*(36/(37-(X13+O13))),0)</f>
        <v>0</v>
      </c>
      <c r="AI13" s="24">
        <f t="array" ref="AI13">IF(ISNUMBER(Y13),INDEX('hyper-reps-lookup-table'!$B$2:$AE$31,Y13,O13+1)*N13*(36/(37-(Y13+O13))),0)</f>
        <v>0</v>
      </c>
      <c r="AJ13" s="55">
        <f t="shared" ref="AJ13:AJ20" si="58">IF(AK13&gt;0,N13/AK13,0%)</f>
        <v>0</v>
      </c>
      <c r="AK13" s="24">
        <f t="shared" ref="AK13:AK20" si="59">IF(ISNUMBER(P13),N13*(36/(37-(P13+O13))),0)</f>
        <v>0</v>
      </c>
      <c r="AL13" s="24">
        <f t="shared" ref="AL13:AL20" si="60">SUM(P13:Y13)*N13</f>
        <v>0</v>
      </c>
      <c r="AM13" s="24">
        <f t="shared" ref="AM13:AM20" si="61">SUM(Z13:AI13)</f>
        <v>0</v>
      </c>
      <c r="AN13" s="24">
        <v>0.0</v>
      </c>
      <c r="AO13" s="24">
        <v>0.0</v>
      </c>
      <c r="AP13" s="5">
        <v>0.0</v>
      </c>
      <c r="AQ13" s="5">
        <v>0.0</v>
      </c>
      <c r="AR13" s="24">
        <v>0.0</v>
      </c>
      <c r="AS13" s="24">
        <v>0.0</v>
      </c>
      <c r="AT13" s="4" t="str">
        <f t="shared" ref="AT13:AT20" si="62">I13</f>
        <v>Bench Press [Trainer+]</v>
      </c>
      <c r="AU13" s="24">
        <f t="shared" ref="AU13:AU20" si="63">MAX(ROUND($F13,0),1)</f>
        <v>3</v>
      </c>
      <c r="AV13" s="24">
        <f t="shared" ref="AV13:AV20" si="64">IF(ISNUMBER(AU13),AU13,MIN(MAX(IFS(CC13&gt;0,K13+1,CC13=0,K13,CC13&lt;0,K13),1),$F13))</f>
        <v>3</v>
      </c>
      <c r="AW13" s="23"/>
      <c r="AX13" s="5">
        <f t="shared" ref="AX13:AX20" si="65">IF(ISNUMBER(AW13),AW13,MIN(MAX(MIN(IFS(CC13&gt;0,M13*1.025,CC13=0,M13,CC13&lt;0,AK13*$D13),AK13*$E13),AK13*$D13),$G13))</f>
        <v>0</v>
      </c>
      <c r="AY13" s="5">
        <f t="shared" ref="AY13:AY20" si="66">IF(ISNUMBER(AW13),AW13,MAX(MROUND(AX13,$H13),$H13))</f>
        <v>0.5</v>
      </c>
      <c r="AZ13" s="23">
        <v>0.0</v>
      </c>
      <c r="BA13" s="56"/>
      <c r="BB13" s="56"/>
      <c r="BC13" s="56"/>
      <c r="BD13" s="57"/>
      <c r="BE13" s="57"/>
      <c r="BF13" s="57"/>
      <c r="BG13" s="57"/>
      <c r="BH13" s="57"/>
      <c r="BI13" s="57"/>
      <c r="BJ13" s="57"/>
      <c r="BK13" s="24">
        <f t="array" ref="BK13">IF(ISNUMBER(BA13),INDEX('hyper-reps-lookup-table'!$B$2:$AE$31,BA13,AZ13+1)*AY13*(36/(37-(BA13+AZ13))),0)</f>
        <v>0</v>
      </c>
      <c r="BL13" s="24">
        <f t="array" ref="BL13">IF(ISNUMBER(BB13),INDEX('hyper-reps-lookup-table'!$B$2:$AE$31,BB13,AZ13+1)*AY13*(36/(37-(BB13+AZ13))),0)</f>
        <v>0</v>
      </c>
      <c r="BM13" s="24">
        <f t="array" ref="BM13">IF(ISNUMBER(BC13),INDEX('hyper-reps-lookup-table'!$B$2:$AE$31,BC13,AZ13+1)*AY13*(36/(37-(BC13+AZ13))),0)</f>
        <v>0</v>
      </c>
      <c r="BN13" s="24">
        <f t="array" ref="BN13">IF(ISNUMBER(BD13),INDEX('hyper-reps-lookup-table'!$B$2:$AE$31,BD13,AZ13+1)*AY13*(36/(37-(BD13+AZ13))),0)</f>
        <v>0</v>
      </c>
      <c r="BO13" s="24">
        <f t="array" ref="BO13">IF(ISNUMBER(BE13),INDEX('hyper-reps-lookup-table'!$B$2:$AE$31,BE13,AZ13+1)*AY13*(36/(37-(BE13+AZ13))),0)</f>
        <v>0</v>
      </c>
      <c r="BP13" s="24">
        <f t="array" ref="BP13">IF(ISNUMBER(BF13),INDEX('hyper-reps-lookup-table'!$B$2:$AE$31,BF13,AZ13+1)*AY13*(36/(37-(BF13+AZ13))),0)</f>
        <v>0</v>
      </c>
      <c r="BQ13" s="24">
        <f t="array" ref="BQ13">IF(ISNUMBER(BG13),INDEX('hyper-reps-lookup-table'!$B$2:$AE$31,BG13,AZ13+1)*AY13*(36/(37-(BG13+AZ13))),0)</f>
        <v>0</v>
      </c>
      <c r="BR13" s="24">
        <f t="array" ref="BR13">IF(ISNUMBER(BH13),INDEX('hyper-reps-lookup-table'!$B$2:$AE$31,BH13,AZ13+1)*AY13*(36/(37-(BH13+AZ13))),0)</f>
        <v>0</v>
      </c>
      <c r="BS13" s="24">
        <f t="array" ref="BS13">IF(ISNUMBER(BI13),INDEX('hyper-reps-lookup-table'!$B$2:$AE$31,BI13,AZ13+1)*AY13*(36/(37-(BI13+AZ13))),0)</f>
        <v>0</v>
      </c>
      <c r="BT13" s="24">
        <f t="array" ref="BT13">IF(ISNUMBER(BJ13),INDEX('hyper-reps-lookup-table'!$B$2:$AE$31,BJ13,AZ13+1)*AY13*(36/(37-(BJ13+AZ13))),0)</f>
        <v>0</v>
      </c>
      <c r="BU13" s="55">
        <f t="shared" ref="BU13:BU20" si="67">IF(BV13&gt;0,AY13/BV13,0%)</f>
        <v>0</v>
      </c>
      <c r="BV13" s="24">
        <f t="shared" ref="BV13:BV20" si="68">IF(ISNUMBER(BA13),AY13*(36/(37-(BA13+AZ13))),0)</f>
        <v>0</v>
      </c>
      <c r="BW13" s="24">
        <f t="shared" ref="BW13:BW20" si="69">SUM(BA13:BJ13)*AY13</f>
        <v>0</v>
      </c>
      <c r="BX13" s="24">
        <f t="shared" ref="BX13:BX20" si="70">SUM(BK13:BT13)</f>
        <v>0</v>
      </c>
      <c r="BY13" s="24">
        <f t="shared" ref="BY13:BY20" si="71">MROUND(SUM(Z13:OFFSET(Z13,0,MIN(AV13,K13)-1)),$H13)</f>
        <v>0</v>
      </c>
      <c r="BZ13" s="24">
        <f t="shared" ref="BZ13:BZ20" si="72">MROUND(SUM(BK13:OFFSET(BK13,0,MIN(AV13,K13)-1)),$H13)</f>
        <v>0</v>
      </c>
      <c r="CA13" s="5">
        <f t="shared" ref="CA13:CA20" si="73">AQ31</f>
        <v>0</v>
      </c>
      <c r="CB13" s="5">
        <f t="shared" ref="CB13:CB20" si="74">IF(AND(ISNUMBER(OFFSET(BA13,0,AV13-1)),AT13=I13),IFS(CC13&lt;0,0,BZ13&gt;BY13,1,BZ13&lt;BY13,-0.5,BZ13=BY13,0),0)</f>
        <v>0</v>
      </c>
      <c r="CC13" s="24">
        <f t="shared" ref="CC13:CC20" si="75">AS31</f>
        <v>0</v>
      </c>
      <c r="CD13" s="24">
        <f t="shared" ref="CD13:CD20" si="76">IFS(CC13=-1,-2,CC13=-2,0,CB13&gt;0,1,(CB13+CA13)=-1,-1,CB13=0,0,CB13&lt;0,0)</f>
        <v>0</v>
      </c>
      <c r="CE13" s="4" t="str">
        <f t="shared" ref="CE13:CE20" si="77">AT13</f>
        <v>Bench Press [Trainer+]</v>
      </c>
      <c r="CF13" s="24"/>
      <c r="CG13" s="24">
        <f t="shared" ref="CG13:CG20" si="78">IF(ISNUMBER(CF13),CF13,MIN(MAX(IFS(DN13&gt;0,AV13+1,DN13=0,AV13,DN13&lt;0,AV13),1),$F13))</f>
        <v>3</v>
      </c>
      <c r="CH13" s="23"/>
      <c r="CI13" s="5">
        <f t="shared" ref="CI13:CI20" si="79">IF(ISNUMBER(CH13),CH13,MIN(MAX(MIN(IFS(DN13&gt;0,AX13*1.025,DN13=0,AX13,DN13&lt;0,BV13*$D13),BV13*$E13),BV13*$D13),$G13))</f>
        <v>0</v>
      </c>
      <c r="CJ13" s="5">
        <f t="shared" ref="CJ13:CJ20" si="80">IF(ISNUMBER(CH13),CH13,MAX(MROUND(CI13,$H13),$H13))</f>
        <v>0.5</v>
      </c>
      <c r="CK13" s="23">
        <v>0.0</v>
      </c>
      <c r="CL13" s="56"/>
      <c r="CM13" s="56"/>
      <c r="CN13" s="56"/>
      <c r="CO13" s="57"/>
      <c r="CP13" s="57"/>
      <c r="CQ13" s="57"/>
      <c r="CR13" s="57"/>
      <c r="CS13" s="57"/>
      <c r="CT13" s="57"/>
      <c r="CU13" s="57"/>
      <c r="CV13" s="24">
        <f t="array" ref="CV13">IF(ISNUMBER(CL13),INDEX('hyper-reps-lookup-table'!$B$2:$AE$31,CL13,CK13+1)*CJ13*(36/(37-(CL13+CK13))),0)</f>
        <v>0</v>
      </c>
      <c r="CW13" s="24">
        <f t="array" ref="CW13">IF(ISNUMBER(CM13),INDEX('hyper-reps-lookup-table'!$B$2:$AE$31,CM13,CK13+1)*CJ13*(36/(37-(CM13+CK13))),0)</f>
        <v>0</v>
      </c>
      <c r="CX13" s="24">
        <f t="array" ref="CX13">IF(ISNUMBER(CN13),INDEX('hyper-reps-lookup-table'!$B$2:$AE$31,CN13,CK13+1)*CJ13*(36/(37-(CN13+CK13))),0)</f>
        <v>0</v>
      </c>
      <c r="CY13" s="24">
        <f t="array" ref="CY13">IF(ISNUMBER(CO13),INDEX('hyper-reps-lookup-table'!$B$2:$AE$31,CO13,CK13+1)*CJ13*(36/(37-(CO13+CK13))),0)</f>
        <v>0</v>
      </c>
      <c r="CZ13" s="24">
        <f t="array" ref="CZ13">IF(ISNUMBER(CP13),INDEX('hyper-reps-lookup-table'!$B$2:$AE$31,CP13,CK13+1)*CJ13*(36/(37-(CP13+CK13))),0)</f>
        <v>0</v>
      </c>
      <c r="DA13" s="24">
        <f t="array" ref="DA13">IF(ISNUMBER(CQ13),INDEX('hyper-reps-lookup-table'!$B$2:$AE$31,CQ13,CK13+1)*CJ13*(36/(37-(CQ13+CK13))),0)</f>
        <v>0</v>
      </c>
      <c r="DB13" s="24">
        <f t="array" ref="DB13">IF(ISNUMBER(CR13),INDEX('hyper-reps-lookup-table'!$B$2:$AE$31,CR13,CK13+1)*CJ13*(36/(37-(CR13+CK13))),0)</f>
        <v>0</v>
      </c>
      <c r="DC13" s="24">
        <f t="array" ref="DC13">IF(ISNUMBER(CS13),INDEX('hyper-reps-lookup-table'!$B$2:$AE$31,CS13,CK13+1)*CJ13*(36/(37-(CS13+CK13))),0)</f>
        <v>0</v>
      </c>
      <c r="DD13" s="24">
        <f t="array" ref="DD13">IF(ISNUMBER(CT13),INDEX('hyper-reps-lookup-table'!$B$2:$AE$31,CT13,CK13+1)*CJ13*(36/(37-(CT13+CK13))),0)</f>
        <v>0</v>
      </c>
      <c r="DE13" s="24">
        <f t="array" ref="DE13">IF(ISNUMBER(CU13),INDEX('hyper-reps-lookup-table'!$B$2:$AE$31,CU13,CK13+1)*CJ13*(36/(37-(CU13+CK13))),0)</f>
        <v>0</v>
      </c>
      <c r="DF13" s="55">
        <f t="shared" ref="DF13:DF20" si="81">IF(DG13&gt;0,CJ13/DG13,0%)</f>
        <v>0</v>
      </c>
      <c r="DG13" s="24">
        <f t="shared" ref="DG13:DG20" si="82">IF(ISNUMBER(CL13),CJ13*(36/(37-(CL13+CK13))),0)</f>
        <v>0</v>
      </c>
      <c r="DH13" s="24">
        <f t="shared" ref="DH13:DH20" si="83">SUM(CL13:CU13)*CJ13</f>
        <v>0</v>
      </c>
      <c r="DI13" s="24">
        <f t="shared" ref="DI13:DI20" si="84">SUM(CV13:DE13)</f>
        <v>0</v>
      </c>
      <c r="DJ13" s="24">
        <f t="shared" ref="DJ13:DJ20" si="85">MROUND(SUM(BK13:OFFSET(BK13,0,MIN(CG13,AV13)-1)),$H13)</f>
        <v>0</v>
      </c>
      <c r="DK13" s="24">
        <f t="shared" ref="DK13:DK20" si="86">MROUND(SUM(CV13:OFFSET(CV13,0,MIN(CG13,AV13)-1)),$H13)</f>
        <v>0</v>
      </c>
      <c r="DL13" s="5">
        <f t="shared" ref="DL13:DL20" si="87">CB31</f>
        <v>0</v>
      </c>
      <c r="DM13" s="5">
        <f t="shared" ref="DM13:DM20" si="88">IF(AND(ISNUMBER(OFFSET(CL13,0,CG13-1)),CE13=AT13),IFS(DN13&lt;0,0,DK13&gt;DJ13,1,DK13&lt;DJ13,-0.5,DK13=DJ13,0),0)</f>
        <v>0</v>
      </c>
      <c r="DN13" s="24">
        <f t="shared" ref="DN13:DN20" si="89">CD31</f>
        <v>0</v>
      </c>
      <c r="DO13" s="24">
        <f t="shared" ref="DO13:DO20" si="90">IFS(DN13=-1,-2,DN13=-2,0,DM13&gt;0,1,(DM13+DL13)=-1,-1,DM13=0,0,DM13&lt;0,0)</f>
        <v>0</v>
      </c>
      <c r="DP13" s="4" t="str">
        <f t="shared" ref="DP13:DP20" si="91">CE13</f>
        <v>Bench Press [Trainer+]</v>
      </c>
      <c r="DQ13" s="24"/>
      <c r="DR13" s="24">
        <f t="shared" ref="DR13:DR20" si="92">IF(ISNUMBER(DQ13),DQ13,MIN(MAX(IFS(EY13&gt;0,CG13+1,EY13=0,CG13,EY13&lt;0,CG13),1),$F13))</f>
        <v>3</v>
      </c>
      <c r="DS13" s="23"/>
      <c r="DT13" s="5">
        <f t="shared" ref="DT13:DT20" si="93">IF(ISNUMBER(DS13),DS13,MIN(MAX(MIN(IFS(EY13&gt;0,CI13*1.025,EY13=0,CI13,EY13&lt;0,DG13*$D13),DG13*$E13),DG13*$D13),$G13))</f>
        <v>0</v>
      </c>
      <c r="DU13" s="5">
        <f t="shared" ref="DU13:DU20" si="94">IF(ISNUMBER(DS13),DS13,MAX(MROUND(DT13,$H13),$H13))</f>
        <v>0.5</v>
      </c>
      <c r="DV13" s="23">
        <v>0.0</v>
      </c>
      <c r="DW13" s="56"/>
      <c r="DX13" s="56"/>
      <c r="DY13" s="56"/>
      <c r="DZ13" s="57"/>
      <c r="EA13" s="57"/>
      <c r="EB13" s="57"/>
      <c r="EC13" s="57"/>
      <c r="ED13" s="57"/>
      <c r="EE13" s="57"/>
      <c r="EF13" s="57"/>
      <c r="EG13" s="24">
        <f t="array" ref="EG13">IF(ISNUMBER(DW13),INDEX('hyper-reps-lookup-table'!$B$2:$AE$31,DW13,DV13+1)*DU13*(36/(37-(DW13+DV13))),0)</f>
        <v>0</v>
      </c>
      <c r="EH13" s="24">
        <f t="array" ref="EH13">IF(ISNUMBER(DX13),INDEX('hyper-reps-lookup-table'!$B$2:$AE$31,DX13,DV13+1)*DU13*(36/(37-(DX13+DV13))),0)</f>
        <v>0</v>
      </c>
      <c r="EI13" s="24">
        <f t="array" ref="EI13">IF(ISNUMBER(DY13),INDEX('hyper-reps-lookup-table'!$B$2:$AE$31,DY13,DV13+1)*DU13*(36/(37-(DY13+DV13))),0)</f>
        <v>0</v>
      </c>
      <c r="EJ13" s="24">
        <f t="array" ref="EJ13">IF(ISNUMBER(DZ13),INDEX('hyper-reps-lookup-table'!$B$2:$AE$31,DZ13,DV13+1)*DU13*(36/(37-(DZ13+DV13))),0)</f>
        <v>0</v>
      </c>
      <c r="EK13" s="24">
        <f t="array" ref="EK13">IF(ISNUMBER(EA13),INDEX('hyper-reps-lookup-table'!$B$2:$AE$31,EA13,DV13+1)*DU13*(36/(37-(EA13+DV13))),0)</f>
        <v>0</v>
      </c>
      <c r="EL13" s="24">
        <f t="array" ref="EL13">IF(ISNUMBER(EB13),INDEX('hyper-reps-lookup-table'!$B$2:$AE$31,EB13,DV13+1)*DU13*(36/(37-(EB13+DV13))),0)</f>
        <v>0</v>
      </c>
      <c r="EM13" s="24">
        <f t="array" ref="EM13">IF(ISNUMBER(EC13),INDEX('hyper-reps-lookup-table'!$B$2:$AE$31,EC13,DV13+1)*DU13*(36/(37-(EC13+DV13))),0)</f>
        <v>0</v>
      </c>
      <c r="EN13" s="24">
        <f t="array" ref="EN13">IF(ISNUMBER(ED13),INDEX('hyper-reps-lookup-table'!$B$2:$AE$31,ED13,DV13+1)*DU13*(36/(37-(ED13+DV13))),0)</f>
        <v>0</v>
      </c>
      <c r="EO13" s="24">
        <f t="array" ref="EO13">IF(ISNUMBER(EE13),INDEX('hyper-reps-lookup-table'!$B$2:$AE$31,EE13,DV13+1)*DU13*(36/(37-(EE13+DV13))),0)</f>
        <v>0</v>
      </c>
      <c r="EP13" s="24">
        <f t="array" ref="EP13">IF(ISNUMBER(EF13),INDEX('hyper-reps-lookup-table'!$B$2:$AE$31,EF13,DV13+1)*DU13*(36/(37-(EF13+DV13))),0)</f>
        <v>0</v>
      </c>
      <c r="EQ13" s="55">
        <f t="shared" ref="EQ13:EQ20" si="95">IF(ER13&gt;0,DU13/ER13,0%)</f>
        <v>0</v>
      </c>
      <c r="ER13" s="24">
        <f t="shared" ref="ER13:ER20" si="96">IF(ISNUMBER(DW13),DU13*(36/(37-(DW13+DV13))),0)</f>
        <v>0</v>
      </c>
      <c r="ES13" s="24">
        <f t="shared" ref="ES13:ES20" si="97">SUM(DW13:EF13)*DU13</f>
        <v>0</v>
      </c>
      <c r="ET13" s="24">
        <f t="shared" ref="ET13:ET20" si="98">SUM(EG13:EP13)</f>
        <v>0</v>
      </c>
      <c r="EU13" s="24">
        <f t="shared" ref="EU13:EU20" si="99">MROUND(SUM(CV13:OFFSET(CV13,0,MIN(DR13,CG13)-1)),$H13)</f>
        <v>0</v>
      </c>
      <c r="EV13" s="24">
        <f t="shared" ref="EV13:EV20" si="100">MROUND(SUM(EG13:OFFSET(EG13,0,MIN(DR13,CG13)-1)),$H13)</f>
        <v>0</v>
      </c>
      <c r="EW13" s="5">
        <f t="shared" ref="EW13:EW20" si="101">DM31</f>
        <v>0</v>
      </c>
      <c r="EX13" s="5">
        <f t="shared" ref="EX13:EX20" si="102">IF(AND(ISNUMBER(OFFSET(DW13,0,DR13-1)),DP13=CE13),IFS(EY13&lt;0,0,EV13&gt;EU13,1,EV13&lt;EU13,-0.5,EV13=EU13,0),0)</f>
        <v>0</v>
      </c>
      <c r="EY13" s="24">
        <f t="shared" ref="EY13:EY20" si="103">DO31</f>
        <v>0</v>
      </c>
      <c r="EZ13" s="24">
        <f t="shared" ref="EZ13:EZ20" si="104">IFS(EY13=-1,-2,EY13=-2,0,EX13&gt;0,1,(EX13+EW13)=-1,-1,EX13=0,0,EX13&lt;0,0)</f>
        <v>0</v>
      </c>
      <c r="FA13" s="14"/>
    </row>
    <row r="14">
      <c r="A14" s="13"/>
      <c r="B14" s="27" t="s">
        <v>59</v>
      </c>
      <c r="C14" s="23">
        <v>100.0</v>
      </c>
      <c r="D14" s="29">
        <v>0.8</v>
      </c>
      <c r="E14" s="29">
        <v>0.85</v>
      </c>
      <c r="F14" s="23">
        <v>3.0</v>
      </c>
      <c r="G14" s="33">
        <v>90.0</v>
      </c>
      <c r="H14" s="33">
        <v>2.5</v>
      </c>
      <c r="I14" s="4" t="str">
        <f t="shared" si="53"/>
        <v>Single Arm Row [Unica]</v>
      </c>
      <c r="J14" s="27">
        <f t="shared" si="54"/>
        <v>1</v>
      </c>
      <c r="K14" s="24">
        <f t="shared" si="55"/>
        <v>1</v>
      </c>
      <c r="L14" s="5"/>
      <c r="M14" s="5">
        <f t="shared" si="56"/>
        <v>80</v>
      </c>
      <c r="N14" s="5">
        <f t="shared" si="57"/>
        <v>80</v>
      </c>
      <c r="O14" s="23">
        <v>0.0</v>
      </c>
      <c r="P14" s="23"/>
      <c r="Q14" s="23"/>
      <c r="R14" s="24"/>
      <c r="S14" s="24"/>
      <c r="T14" s="24"/>
      <c r="U14" s="24"/>
      <c r="V14" s="24"/>
      <c r="W14" s="24"/>
      <c r="X14" s="24"/>
      <c r="Y14" s="24"/>
      <c r="Z14" s="24">
        <f t="array" ref="Z14">IF(ISNUMBER(P14),INDEX('hyper-reps-lookup-table'!$B$2:$AE$31,P14,O14+1)*N14*(36/(37-(P14+O14))),0)</f>
        <v>0</v>
      </c>
      <c r="AA14" s="24">
        <f t="array" ref="AA14">IF(ISNUMBER(Q14),INDEX('hyper-reps-lookup-table'!$B$2:$AE$31,Q14,O14+1)*N14*(36/(37-(Q14+O14))),0)</f>
        <v>0</v>
      </c>
      <c r="AB14" s="24">
        <f t="array" ref="AB14">IF(ISNUMBER(R14),INDEX('hyper-reps-lookup-table'!$B$2:$AE$31,R14,O14+1)*N14*(36/(37-(R14+O14))),0)</f>
        <v>0</v>
      </c>
      <c r="AC14" s="24">
        <f t="array" ref="AC14">IF(ISNUMBER(S14),INDEX('hyper-reps-lookup-table'!$B$2:$AE$31,S14,O14+1)*N14*(36/(37-(S14+O14))),0)</f>
        <v>0</v>
      </c>
      <c r="AD14" s="24">
        <f t="array" ref="AD14">IF(ISNUMBER(T14),INDEX('hyper-reps-lookup-table'!$B$2:$AE$31,T14,O14+1)*N14*(36/(37-(T14+O14))),0)</f>
        <v>0</v>
      </c>
      <c r="AE14" s="24">
        <f t="array" ref="AE14">IF(ISNUMBER(U14),INDEX('hyper-reps-lookup-table'!$B$2:$AE$31,U14,O14+1)*N14*(36/(37-(U14+O14))),0)</f>
        <v>0</v>
      </c>
      <c r="AF14" s="24">
        <f t="array" ref="AF14">IF(ISNUMBER(V14),INDEX('hyper-reps-lookup-table'!$B$2:$AE$31,V14,O14+1)*N14*(36/(37-(V14+O14))),0)</f>
        <v>0</v>
      </c>
      <c r="AG14" s="24">
        <f t="array" ref="AG14">IF(ISNUMBER(W14),INDEX('hyper-reps-lookup-table'!$B$2:$AE$31,W14,O14+1)*N14*(36/(37-(W14+O14))),0)</f>
        <v>0</v>
      </c>
      <c r="AH14" s="24">
        <f t="array" ref="AH14">IF(ISNUMBER(X14),INDEX('hyper-reps-lookup-table'!$B$2:$AE$31,X14,O14+1)*N14*(36/(37-(X14+O14))),0)</f>
        <v>0</v>
      </c>
      <c r="AI14" s="24">
        <f t="array" ref="AI14">IF(ISNUMBER(Y14),INDEX('hyper-reps-lookup-table'!$B$2:$AE$31,Y14,O14+1)*N14*(36/(37-(Y14+O14))),0)</f>
        <v>0</v>
      </c>
      <c r="AJ14" s="55">
        <f t="shared" si="58"/>
        <v>0</v>
      </c>
      <c r="AK14" s="24">
        <f t="shared" si="59"/>
        <v>0</v>
      </c>
      <c r="AL14" s="24">
        <f t="shared" si="60"/>
        <v>0</v>
      </c>
      <c r="AM14" s="24">
        <f t="shared" si="61"/>
        <v>0</v>
      </c>
      <c r="AN14" s="24">
        <v>0.0</v>
      </c>
      <c r="AO14" s="24">
        <v>0.0</v>
      </c>
      <c r="AP14" s="5">
        <v>0.0</v>
      </c>
      <c r="AQ14" s="5">
        <v>0.0</v>
      </c>
      <c r="AR14" s="24">
        <v>0.0</v>
      </c>
      <c r="AS14" s="24">
        <v>0.0</v>
      </c>
      <c r="AT14" s="4" t="str">
        <f t="shared" si="62"/>
        <v>Single Arm Row [Unica]</v>
      </c>
      <c r="AU14" s="24">
        <f t="shared" si="63"/>
        <v>3</v>
      </c>
      <c r="AV14" s="24">
        <f t="shared" si="64"/>
        <v>3</v>
      </c>
      <c r="AW14" s="23"/>
      <c r="AX14" s="5">
        <f t="shared" si="65"/>
        <v>0</v>
      </c>
      <c r="AY14" s="5">
        <f t="shared" si="66"/>
        <v>2.5</v>
      </c>
      <c r="AZ14" s="23">
        <v>0.0</v>
      </c>
      <c r="BA14" s="56"/>
      <c r="BB14" s="56"/>
      <c r="BC14" s="56"/>
      <c r="BD14" s="57"/>
      <c r="BE14" s="57"/>
      <c r="BF14" s="57"/>
      <c r="BG14" s="57"/>
      <c r="BH14" s="57"/>
      <c r="BI14" s="57"/>
      <c r="BJ14" s="57"/>
      <c r="BK14" s="24">
        <f t="array" ref="BK14">IF(ISNUMBER(BA14),INDEX('hyper-reps-lookup-table'!$B$2:$AE$31,BA14,AZ14+1)*AY14*(36/(37-(BA14+AZ14))),0)</f>
        <v>0</v>
      </c>
      <c r="BL14" s="24">
        <f t="array" ref="BL14">IF(ISNUMBER(BB14),INDEX('hyper-reps-lookup-table'!$B$2:$AE$31,BB14,AZ14+1)*AY14*(36/(37-(BB14+AZ14))),0)</f>
        <v>0</v>
      </c>
      <c r="BM14" s="24">
        <f t="array" ref="BM14">IF(ISNUMBER(BC14),INDEX('hyper-reps-lookup-table'!$B$2:$AE$31,BC14,AZ14+1)*AY14*(36/(37-(BC14+AZ14))),0)</f>
        <v>0</v>
      </c>
      <c r="BN14" s="24">
        <f t="array" ref="BN14">IF(ISNUMBER(BD14),INDEX('hyper-reps-lookup-table'!$B$2:$AE$31,BD14,AZ14+1)*AY14*(36/(37-(BD14+AZ14))),0)</f>
        <v>0</v>
      </c>
      <c r="BO14" s="24">
        <f t="array" ref="BO14">IF(ISNUMBER(BE14),INDEX('hyper-reps-lookup-table'!$B$2:$AE$31,BE14,AZ14+1)*AY14*(36/(37-(BE14+AZ14))),0)</f>
        <v>0</v>
      </c>
      <c r="BP14" s="24">
        <f t="array" ref="BP14">IF(ISNUMBER(BF14),INDEX('hyper-reps-lookup-table'!$B$2:$AE$31,BF14,AZ14+1)*AY14*(36/(37-(BF14+AZ14))),0)</f>
        <v>0</v>
      </c>
      <c r="BQ14" s="24">
        <f t="array" ref="BQ14">IF(ISNUMBER(BG14),INDEX('hyper-reps-lookup-table'!$B$2:$AE$31,BG14,AZ14+1)*AY14*(36/(37-(BG14+AZ14))),0)</f>
        <v>0</v>
      </c>
      <c r="BR14" s="24">
        <f t="array" ref="BR14">IF(ISNUMBER(BH14),INDEX('hyper-reps-lookup-table'!$B$2:$AE$31,BH14,AZ14+1)*AY14*(36/(37-(BH14+AZ14))),0)</f>
        <v>0</v>
      </c>
      <c r="BS14" s="24">
        <f t="array" ref="BS14">IF(ISNUMBER(BI14),INDEX('hyper-reps-lookup-table'!$B$2:$AE$31,BI14,AZ14+1)*AY14*(36/(37-(BI14+AZ14))),0)</f>
        <v>0</v>
      </c>
      <c r="BT14" s="24">
        <f t="array" ref="BT14">IF(ISNUMBER(BJ14),INDEX('hyper-reps-lookup-table'!$B$2:$AE$31,BJ14,AZ14+1)*AY14*(36/(37-(BJ14+AZ14))),0)</f>
        <v>0</v>
      </c>
      <c r="BU14" s="55">
        <f t="shared" si="67"/>
        <v>0</v>
      </c>
      <c r="BV14" s="24">
        <f t="shared" si="68"/>
        <v>0</v>
      </c>
      <c r="BW14" s="24">
        <f t="shared" si="69"/>
        <v>0</v>
      </c>
      <c r="BX14" s="24">
        <f t="shared" si="70"/>
        <v>0</v>
      </c>
      <c r="BY14" s="24">
        <f t="shared" si="71"/>
        <v>0</v>
      </c>
      <c r="BZ14" s="24">
        <f t="shared" si="72"/>
        <v>0</v>
      </c>
      <c r="CA14" s="5">
        <f t="shared" si="73"/>
        <v>0</v>
      </c>
      <c r="CB14" s="5">
        <f t="shared" si="74"/>
        <v>0</v>
      </c>
      <c r="CC14" s="24">
        <f t="shared" si="75"/>
        <v>0</v>
      </c>
      <c r="CD14" s="24">
        <f t="shared" si="76"/>
        <v>0</v>
      </c>
      <c r="CE14" s="4" t="str">
        <f t="shared" si="77"/>
        <v>Single Arm Row [Unica]</v>
      </c>
      <c r="CF14" s="24"/>
      <c r="CG14" s="24">
        <f t="shared" si="78"/>
        <v>3</v>
      </c>
      <c r="CH14" s="23"/>
      <c r="CI14" s="5">
        <f t="shared" si="79"/>
        <v>0</v>
      </c>
      <c r="CJ14" s="5">
        <f t="shared" si="80"/>
        <v>2.5</v>
      </c>
      <c r="CK14" s="23">
        <v>0.0</v>
      </c>
      <c r="CL14" s="56"/>
      <c r="CM14" s="56"/>
      <c r="CN14" s="56"/>
      <c r="CO14" s="57"/>
      <c r="CP14" s="57"/>
      <c r="CQ14" s="57"/>
      <c r="CR14" s="57"/>
      <c r="CS14" s="57"/>
      <c r="CT14" s="57"/>
      <c r="CU14" s="57"/>
      <c r="CV14" s="24">
        <f t="array" ref="CV14">IF(ISNUMBER(CL14),INDEX('hyper-reps-lookup-table'!$B$2:$AE$31,CL14,CK14+1)*CJ14*(36/(37-(CL14+CK14))),0)</f>
        <v>0</v>
      </c>
      <c r="CW14" s="24">
        <f t="array" ref="CW14">IF(ISNUMBER(CM14),INDEX('hyper-reps-lookup-table'!$B$2:$AE$31,CM14,CK14+1)*CJ14*(36/(37-(CM14+CK14))),0)</f>
        <v>0</v>
      </c>
      <c r="CX14" s="24">
        <f t="array" ref="CX14">IF(ISNUMBER(CN14),INDEX('hyper-reps-lookup-table'!$B$2:$AE$31,CN14,CK14+1)*CJ14*(36/(37-(CN14+CK14))),0)</f>
        <v>0</v>
      </c>
      <c r="CY14" s="24">
        <f t="array" ref="CY14">IF(ISNUMBER(CO14),INDEX('hyper-reps-lookup-table'!$B$2:$AE$31,CO14,CK14+1)*CJ14*(36/(37-(CO14+CK14))),0)</f>
        <v>0</v>
      </c>
      <c r="CZ14" s="24">
        <f t="array" ref="CZ14">IF(ISNUMBER(CP14),INDEX('hyper-reps-lookup-table'!$B$2:$AE$31,CP14,CK14+1)*CJ14*(36/(37-(CP14+CK14))),0)</f>
        <v>0</v>
      </c>
      <c r="DA14" s="24">
        <f t="array" ref="DA14">IF(ISNUMBER(CQ14),INDEX('hyper-reps-lookup-table'!$B$2:$AE$31,CQ14,CK14+1)*CJ14*(36/(37-(CQ14+CK14))),0)</f>
        <v>0</v>
      </c>
      <c r="DB14" s="24">
        <f t="array" ref="DB14">IF(ISNUMBER(CR14),INDEX('hyper-reps-lookup-table'!$B$2:$AE$31,CR14,CK14+1)*CJ14*(36/(37-(CR14+CK14))),0)</f>
        <v>0</v>
      </c>
      <c r="DC14" s="24">
        <f t="array" ref="DC14">IF(ISNUMBER(CS14),INDEX('hyper-reps-lookup-table'!$B$2:$AE$31,CS14,CK14+1)*CJ14*(36/(37-(CS14+CK14))),0)</f>
        <v>0</v>
      </c>
      <c r="DD14" s="24">
        <f t="array" ref="DD14">IF(ISNUMBER(CT14),INDEX('hyper-reps-lookup-table'!$B$2:$AE$31,CT14,CK14+1)*CJ14*(36/(37-(CT14+CK14))),0)</f>
        <v>0</v>
      </c>
      <c r="DE14" s="24">
        <f t="array" ref="DE14">IF(ISNUMBER(CU14),INDEX('hyper-reps-lookup-table'!$B$2:$AE$31,CU14,CK14+1)*CJ14*(36/(37-(CU14+CK14))),0)</f>
        <v>0</v>
      </c>
      <c r="DF14" s="55">
        <f t="shared" si="81"/>
        <v>0</v>
      </c>
      <c r="DG14" s="24">
        <f t="shared" si="82"/>
        <v>0</v>
      </c>
      <c r="DH14" s="24">
        <f t="shared" si="83"/>
        <v>0</v>
      </c>
      <c r="DI14" s="24">
        <f t="shared" si="84"/>
        <v>0</v>
      </c>
      <c r="DJ14" s="24">
        <f t="shared" si="85"/>
        <v>0</v>
      </c>
      <c r="DK14" s="24">
        <f t="shared" si="86"/>
        <v>0</v>
      </c>
      <c r="DL14" s="5">
        <f t="shared" si="87"/>
        <v>0</v>
      </c>
      <c r="DM14" s="5">
        <f t="shared" si="88"/>
        <v>0</v>
      </c>
      <c r="DN14" s="24">
        <f t="shared" si="89"/>
        <v>0</v>
      </c>
      <c r="DO14" s="24">
        <f t="shared" si="90"/>
        <v>0</v>
      </c>
      <c r="DP14" s="4" t="str">
        <f t="shared" si="91"/>
        <v>Single Arm Row [Unica]</v>
      </c>
      <c r="DQ14" s="24"/>
      <c r="DR14" s="24">
        <f t="shared" si="92"/>
        <v>3</v>
      </c>
      <c r="DS14" s="23"/>
      <c r="DT14" s="5">
        <f t="shared" si="93"/>
        <v>0</v>
      </c>
      <c r="DU14" s="5">
        <f t="shared" si="94"/>
        <v>2.5</v>
      </c>
      <c r="DV14" s="23">
        <v>0.0</v>
      </c>
      <c r="DW14" s="56"/>
      <c r="DX14" s="56"/>
      <c r="DY14" s="56"/>
      <c r="DZ14" s="57"/>
      <c r="EA14" s="57"/>
      <c r="EB14" s="57"/>
      <c r="EC14" s="57"/>
      <c r="ED14" s="57"/>
      <c r="EE14" s="57"/>
      <c r="EF14" s="57"/>
      <c r="EG14" s="24">
        <f t="array" ref="EG14">IF(ISNUMBER(DW14),INDEX('hyper-reps-lookup-table'!$B$2:$AE$31,DW14,DV14+1)*DU14*(36/(37-(DW14+DV14))),0)</f>
        <v>0</v>
      </c>
      <c r="EH14" s="24">
        <f t="array" ref="EH14">IF(ISNUMBER(DX14),INDEX('hyper-reps-lookup-table'!$B$2:$AE$31,DX14,DV14+1)*DU14*(36/(37-(DX14+DV14))),0)</f>
        <v>0</v>
      </c>
      <c r="EI14" s="24">
        <f t="array" ref="EI14">IF(ISNUMBER(DY14),INDEX('hyper-reps-lookup-table'!$B$2:$AE$31,DY14,DV14+1)*DU14*(36/(37-(DY14+DV14))),0)</f>
        <v>0</v>
      </c>
      <c r="EJ14" s="24">
        <f t="array" ref="EJ14">IF(ISNUMBER(DZ14),INDEX('hyper-reps-lookup-table'!$B$2:$AE$31,DZ14,DV14+1)*DU14*(36/(37-(DZ14+DV14))),0)</f>
        <v>0</v>
      </c>
      <c r="EK14" s="24">
        <f t="array" ref="EK14">IF(ISNUMBER(EA14),INDEX('hyper-reps-lookup-table'!$B$2:$AE$31,EA14,DV14+1)*DU14*(36/(37-(EA14+DV14))),0)</f>
        <v>0</v>
      </c>
      <c r="EL14" s="24">
        <f t="array" ref="EL14">IF(ISNUMBER(EB14),INDEX('hyper-reps-lookup-table'!$B$2:$AE$31,EB14,DV14+1)*DU14*(36/(37-(EB14+DV14))),0)</f>
        <v>0</v>
      </c>
      <c r="EM14" s="24">
        <f t="array" ref="EM14">IF(ISNUMBER(EC14),INDEX('hyper-reps-lookup-table'!$B$2:$AE$31,EC14,DV14+1)*DU14*(36/(37-(EC14+DV14))),0)</f>
        <v>0</v>
      </c>
      <c r="EN14" s="24">
        <f t="array" ref="EN14">IF(ISNUMBER(ED14),INDEX('hyper-reps-lookup-table'!$B$2:$AE$31,ED14,DV14+1)*DU14*(36/(37-(ED14+DV14))),0)</f>
        <v>0</v>
      </c>
      <c r="EO14" s="24">
        <f t="array" ref="EO14">IF(ISNUMBER(EE14),INDEX('hyper-reps-lookup-table'!$B$2:$AE$31,EE14,DV14+1)*DU14*(36/(37-(EE14+DV14))),0)</f>
        <v>0</v>
      </c>
      <c r="EP14" s="24">
        <f t="array" ref="EP14">IF(ISNUMBER(EF14),INDEX('hyper-reps-lookup-table'!$B$2:$AE$31,EF14,DV14+1)*DU14*(36/(37-(EF14+DV14))),0)</f>
        <v>0</v>
      </c>
      <c r="EQ14" s="55">
        <f t="shared" si="95"/>
        <v>0</v>
      </c>
      <c r="ER14" s="24">
        <f t="shared" si="96"/>
        <v>0</v>
      </c>
      <c r="ES14" s="24">
        <f t="shared" si="97"/>
        <v>0</v>
      </c>
      <c r="ET14" s="24">
        <f t="shared" si="98"/>
        <v>0</v>
      </c>
      <c r="EU14" s="24">
        <f t="shared" si="99"/>
        <v>0</v>
      </c>
      <c r="EV14" s="24">
        <f t="shared" si="100"/>
        <v>0</v>
      </c>
      <c r="EW14" s="5">
        <f t="shared" si="101"/>
        <v>0</v>
      </c>
      <c r="EX14" s="5">
        <f t="shared" si="102"/>
        <v>0</v>
      </c>
      <c r="EY14" s="24">
        <f t="shared" si="103"/>
        <v>0</v>
      </c>
      <c r="EZ14" s="24">
        <f t="shared" si="104"/>
        <v>0</v>
      </c>
      <c r="FA14" s="14"/>
    </row>
    <row r="15">
      <c r="A15" s="13"/>
      <c r="B15" s="27" t="s">
        <v>60</v>
      </c>
      <c r="C15" s="23">
        <v>100.0</v>
      </c>
      <c r="D15" s="29">
        <v>0.75</v>
      </c>
      <c r="E15" s="29">
        <v>0.8</v>
      </c>
      <c r="F15" s="23">
        <v>3.0</v>
      </c>
      <c r="G15" s="33">
        <v>180.0</v>
      </c>
      <c r="H15" s="33">
        <v>0.5</v>
      </c>
      <c r="I15" s="4" t="str">
        <f t="shared" si="53"/>
        <v>Lying Pec Flys (RPT) [Trainer+]</v>
      </c>
      <c r="J15" s="27">
        <f t="shared" si="54"/>
        <v>1</v>
      </c>
      <c r="K15" s="24">
        <f t="shared" si="55"/>
        <v>1</v>
      </c>
      <c r="L15" s="5"/>
      <c r="M15" s="5">
        <f t="shared" si="56"/>
        <v>75</v>
      </c>
      <c r="N15" s="5">
        <f t="shared" si="57"/>
        <v>75</v>
      </c>
      <c r="O15" s="23">
        <v>0.0</v>
      </c>
      <c r="P15" s="23"/>
      <c r="Q15" s="23"/>
      <c r="R15" s="24"/>
      <c r="S15" s="24"/>
      <c r="T15" s="24"/>
      <c r="U15" s="24"/>
      <c r="V15" s="24"/>
      <c r="W15" s="24"/>
      <c r="X15" s="24"/>
      <c r="Y15" s="24"/>
      <c r="Z15" s="24">
        <f t="array" ref="Z15">IF(ISNUMBER(P15),INDEX('hyper-reps-lookup-table'!$B$2:$AE$31,P15,O15+1)*N15*(36/(37-(P15+O15))),0)</f>
        <v>0</v>
      </c>
      <c r="AA15" s="24">
        <f t="array" ref="AA15">IF(ISNUMBER(Q15),INDEX('hyper-reps-lookup-table'!$B$2:$AE$31,Q15,O15+1)*N15*(36/(37-(Q15+O15))),0)</f>
        <v>0</v>
      </c>
      <c r="AB15" s="24">
        <f t="array" ref="AB15">IF(ISNUMBER(R15),INDEX('hyper-reps-lookup-table'!$B$2:$AE$31,R15,O15+1)*N15*(36/(37-(R15+O15))),0)</f>
        <v>0</v>
      </c>
      <c r="AC15" s="24">
        <f t="array" ref="AC15">IF(ISNUMBER(S15),INDEX('hyper-reps-lookup-table'!$B$2:$AE$31,S15,O15+1)*N15*(36/(37-(S15+O15))),0)</f>
        <v>0</v>
      </c>
      <c r="AD15" s="24">
        <f t="array" ref="AD15">IF(ISNUMBER(T15),INDEX('hyper-reps-lookup-table'!$B$2:$AE$31,T15,O15+1)*N15*(36/(37-(T15+O15))),0)</f>
        <v>0</v>
      </c>
      <c r="AE15" s="24">
        <f t="array" ref="AE15">IF(ISNUMBER(U15),INDEX('hyper-reps-lookup-table'!$B$2:$AE$31,U15,O15+1)*N15*(36/(37-(U15+O15))),0)</f>
        <v>0</v>
      </c>
      <c r="AF15" s="24">
        <f t="array" ref="AF15">IF(ISNUMBER(V15),INDEX('hyper-reps-lookup-table'!$B$2:$AE$31,V15,O15+1)*N15*(36/(37-(V15+O15))),0)</f>
        <v>0</v>
      </c>
      <c r="AG15" s="24">
        <f t="array" ref="AG15">IF(ISNUMBER(W15),INDEX('hyper-reps-lookup-table'!$B$2:$AE$31,W15,O15+1)*N15*(36/(37-(W15+O15))),0)</f>
        <v>0</v>
      </c>
      <c r="AH15" s="24">
        <f t="array" ref="AH15">IF(ISNUMBER(X15),INDEX('hyper-reps-lookup-table'!$B$2:$AE$31,X15,O15+1)*N15*(36/(37-(X15+O15))),0)</f>
        <v>0</v>
      </c>
      <c r="AI15" s="24">
        <f t="array" ref="AI15">IF(ISNUMBER(Y15),INDEX('hyper-reps-lookup-table'!$B$2:$AE$31,Y15,O15+1)*N15*(36/(37-(Y15+O15))),0)</f>
        <v>0</v>
      </c>
      <c r="AJ15" s="55">
        <f t="shared" si="58"/>
        <v>0</v>
      </c>
      <c r="AK15" s="24">
        <f t="shared" si="59"/>
        <v>0</v>
      </c>
      <c r="AL15" s="24">
        <f t="shared" si="60"/>
        <v>0</v>
      </c>
      <c r="AM15" s="24">
        <f t="shared" si="61"/>
        <v>0</v>
      </c>
      <c r="AN15" s="24">
        <v>0.0</v>
      </c>
      <c r="AO15" s="24">
        <v>0.0</v>
      </c>
      <c r="AP15" s="5">
        <v>0.0</v>
      </c>
      <c r="AQ15" s="5">
        <v>0.0</v>
      </c>
      <c r="AR15" s="24">
        <v>0.0</v>
      </c>
      <c r="AS15" s="24">
        <v>0.0</v>
      </c>
      <c r="AT15" s="4" t="str">
        <f t="shared" si="62"/>
        <v>Lying Pec Flys (RPT) [Trainer+]</v>
      </c>
      <c r="AU15" s="24">
        <f t="shared" si="63"/>
        <v>3</v>
      </c>
      <c r="AV15" s="24">
        <f t="shared" si="64"/>
        <v>3</v>
      </c>
      <c r="AW15" s="23"/>
      <c r="AX15" s="5">
        <f t="shared" si="65"/>
        <v>0</v>
      </c>
      <c r="AY15" s="5">
        <f t="shared" si="66"/>
        <v>0.5</v>
      </c>
      <c r="AZ15" s="23">
        <v>0.0</v>
      </c>
      <c r="BA15" s="56"/>
      <c r="BB15" s="56"/>
      <c r="BC15" s="56"/>
      <c r="BD15" s="57"/>
      <c r="BE15" s="57"/>
      <c r="BF15" s="57"/>
      <c r="BG15" s="57"/>
      <c r="BH15" s="57"/>
      <c r="BI15" s="57"/>
      <c r="BJ15" s="57"/>
      <c r="BK15" s="24">
        <f t="array" ref="BK15">IF(ISNUMBER(BA15),INDEX('hyper-reps-lookup-table'!$B$2:$AE$31,BA15,AZ15+1)*AY15*(36/(37-(BA15+AZ15))),0)</f>
        <v>0</v>
      </c>
      <c r="BL15" s="24">
        <f t="array" ref="BL15">IF(ISNUMBER(BB15),INDEX('hyper-reps-lookup-table'!$B$2:$AE$31,BB15,AZ15+1)*AY15*(36/(37-(BB15+AZ15))),0)</f>
        <v>0</v>
      </c>
      <c r="BM15" s="24">
        <f t="array" ref="BM15">IF(ISNUMBER(BC15),INDEX('hyper-reps-lookup-table'!$B$2:$AE$31,BC15,AZ15+1)*AY15*(36/(37-(BC15+AZ15))),0)</f>
        <v>0</v>
      </c>
      <c r="BN15" s="24">
        <f t="array" ref="BN15">IF(ISNUMBER(BD15),INDEX('hyper-reps-lookup-table'!$B$2:$AE$31,BD15,AZ15+1)*AY15*(36/(37-(BD15+AZ15))),0)</f>
        <v>0</v>
      </c>
      <c r="BO15" s="24">
        <f t="array" ref="BO15">IF(ISNUMBER(BE15),INDEX('hyper-reps-lookup-table'!$B$2:$AE$31,BE15,AZ15+1)*AY15*(36/(37-(BE15+AZ15))),0)</f>
        <v>0</v>
      </c>
      <c r="BP15" s="24">
        <f t="array" ref="BP15">IF(ISNUMBER(BF15),INDEX('hyper-reps-lookup-table'!$B$2:$AE$31,BF15,AZ15+1)*AY15*(36/(37-(BF15+AZ15))),0)</f>
        <v>0</v>
      </c>
      <c r="BQ15" s="24">
        <f t="array" ref="BQ15">IF(ISNUMBER(BG15),INDEX('hyper-reps-lookup-table'!$B$2:$AE$31,BG15,AZ15+1)*AY15*(36/(37-(BG15+AZ15))),0)</f>
        <v>0</v>
      </c>
      <c r="BR15" s="24">
        <f t="array" ref="BR15">IF(ISNUMBER(BH15),INDEX('hyper-reps-lookup-table'!$B$2:$AE$31,BH15,AZ15+1)*AY15*(36/(37-(BH15+AZ15))),0)</f>
        <v>0</v>
      </c>
      <c r="BS15" s="24">
        <f t="array" ref="BS15">IF(ISNUMBER(BI15),INDEX('hyper-reps-lookup-table'!$B$2:$AE$31,BI15,AZ15+1)*AY15*(36/(37-(BI15+AZ15))),0)</f>
        <v>0</v>
      </c>
      <c r="BT15" s="24">
        <f t="array" ref="BT15">IF(ISNUMBER(BJ15),INDEX('hyper-reps-lookup-table'!$B$2:$AE$31,BJ15,AZ15+1)*AY15*(36/(37-(BJ15+AZ15))),0)</f>
        <v>0</v>
      </c>
      <c r="BU15" s="55">
        <f t="shared" si="67"/>
        <v>0</v>
      </c>
      <c r="BV15" s="24">
        <f t="shared" si="68"/>
        <v>0</v>
      </c>
      <c r="BW15" s="24">
        <f t="shared" si="69"/>
        <v>0</v>
      </c>
      <c r="BX15" s="24">
        <f t="shared" si="70"/>
        <v>0</v>
      </c>
      <c r="BY15" s="24">
        <f t="shared" si="71"/>
        <v>0</v>
      </c>
      <c r="BZ15" s="24">
        <f t="shared" si="72"/>
        <v>0</v>
      </c>
      <c r="CA15" s="5">
        <f t="shared" si="73"/>
        <v>0</v>
      </c>
      <c r="CB15" s="5">
        <f t="shared" si="74"/>
        <v>0</v>
      </c>
      <c r="CC15" s="24">
        <f t="shared" si="75"/>
        <v>0</v>
      </c>
      <c r="CD15" s="24">
        <f t="shared" si="76"/>
        <v>0</v>
      </c>
      <c r="CE15" s="4" t="str">
        <f t="shared" si="77"/>
        <v>Lying Pec Flys (RPT) [Trainer+]</v>
      </c>
      <c r="CF15" s="24"/>
      <c r="CG15" s="24">
        <f t="shared" si="78"/>
        <v>3</v>
      </c>
      <c r="CH15" s="23"/>
      <c r="CI15" s="5">
        <f t="shared" si="79"/>
        <v>0</v>
      </c>
      <c r="CJ15" s="5">
        <f t="shared" si="80"/>
        <v>0.5</v>
      </c>
      <c r="CK15" s="23">
        <v>0.0</v>
      </c>
      <c r="CL15" s="56"/>
      <c r="CM15" s="56"/>
      <c r="CN15" s="56"/>
      <c r="CO15" s="57"/>
      <c r="CP15" s="57"/>
      <c r="CQ15" s="57"/>
      <c r="CR15" s="57"/>
      <c r="CS15" s="57"/>
      <c r="CT15" s="57"/>
      <c r="CU15" s="57"/>
      <c r="CV15" s="24">
        <f t="array" ref="CV15">IF(ISNUMBER(CL15),INDEX('hyper-reps-lookup-table'!$B$2:$AE$31,CL15,CK15+1)*CJ15*(36/(37-(CL15+CK15))),0)</f>
        <v>0</v>
      </c>
      <c r="CW15" s="24">
        <f t="array" ref="CW15">IF(ISNUMBER(CM15),INDEX('hyper-reps-lookup-table'!$B$2:$AE$31,CM15,CK15+1)*CJ15*(36/(37-(CM15+CK15))),0)</f>
        <v>0</v>
      </c>
      <c r="CX15" s="24">
        <f t="array" ref="CX15">IF(ISNUMBER(CN15),INDEX('hyper-reps-lookup-table'!$B$2:$AE$31,CN15,CK15+1)*CJ15*(36/(37-(CN15+CK15))),0)</f>
        <v>0</v>
      </c>
      <c r="CY15" s="24">
        <f t="array" ref="CY15">IF(ISNUMBER(CO15),INDEX('hyper-reps-lookup-table'!$B$2:$AE$31,CO15,CK15+1)*CJ15*(36/(37-(CO15+CK15))),0)</f>
        <v>0</v>
      </c>
      <c r="CZ15" s="24">
        <f t="array" ref="CZ15">IF(ISNUMBER(CP15),INDEX('hyper-reps-lookup-table'!$B$2:$AE$31,CP15,CK15+1)*CJ15*(36/(37-(CP15+CK15))),0)</f>
        <v>0</v>
      </c>
      <c r="DA15" s="24">
        <f t="array" ref="DA15">IF(ISNUMBER(CQ15),INDEX('hyper-reps-lookup-table'!$B$2:$AE$31,CQ15,CK15+1)*CJ15*(36/(37-(CQ15+CK15))),0)</f>
        <v>0</v>
      </c>
      <c r="DB15" s="24">
        <f t="array" ref="DB15">IF(ISNUMBER(CR15),INDEX('hyper-reps-lookup-table'!$B$2:$AE$31,CR15,CK15+1)*CJ15*(36/(37-(CR15+CK15))),0)</f>
        <v>0</v>
      </c>
      <c r="DC15" s="24">
        <f t="array" ref="DC15">IF(ISNUMBER(CS15),INDEX('hyper-reps-lookup-table'!$B$2:$AE$31,CS15,CK15+1)*CJ15*(36/(37-(CS15+CK15))),0)</f>
        <v>0</v>
      </c>
      <c r="DD15" s="24">
        <f t="array" ref="DD15">IF(ISNUMBER(CT15),INDEX('hyper-reps-lookup-table'!$B$2:$AE$31,CT15,CK15+1)*CJ15*(36/(37-(CT15+CK15))),0)</f>
        <v>0</v>
      </c>
      <c r="DE15" s="24">
        <f t="array" ref="DE15">IF(ISNUMBER(CU15),INDEX('hyper-reps-lookup-table'!$B$2:$AE$31,CU15,CK15+1)*CJ15*(36/(37-(CU15+CK15))),0)</f>
        <v>0</v>
      </c>
      <c r="DF15" s="55">
        <f t="shared" si="81"/>
        <v>0</v>
      </c>
      <c r="DG15" s="24">
        <f t="shared" si="82"/>
        <v>0</v>
      </c>
      <c r="DH15" s="24">
        <f t="shared" si="83"/>
        <v>0</v>
      </c>
      <c r="DI15" s="24">
        <f t="shared" si="84"/>
        <v>0</v>
      </c>
      <c r="DJ15" s="24">
        <f t="shared" si="85"/>
        <v>0</v>
      </c>
      <c r="DK15" s="24">
        <f t="shared" si="86"/>
        <v>0</v>
      </c>
      <c r="DL15" s="5">
        <f t="shared" si="87"/>
        <v>0</v>
      </c>
      <c r="DM15" s="5">
        <f t="shared" si="88"/>
        <v>0</v>
      </c>
      <c r="DN15" s="24">
        <f t="shared" si="89"/>
        <v>0</v>
      </c>
      <c r="DO15" s="24">
        <f t="shared" si="90"/>
        <v>0</v>
      </c>
      <c r="DP15" s="4" t="str">
        <f t="shared" si="91"/>
        <v>Lying Pec Flys (RPT) [Trainer+]</v>
      </c>
      <c r="DQ15" s="24"/>
      <c r="DR15" s="24">
        <f t="shared" si="92"/>
        <v>3</v>
      </c>
      <c r="DS15" s="23"/>
      <c r="DT15" s="5">
        <f t="shared" si="93"/>
        <v>0</v>
      </c>
      <c r="DU15" s="5">
        <f t="shared" si="94"/>
        <v>0.5</v>
      </c>
      <c r="DV15" s="23">
        <v>0.0</v>
      </c>
      <c r="DW15" s="56"/>
      <c r="DX15" s="56"/>
      <c r="DY15" s="56"/>
      <c r="DZ15" s="57"/>
      <c r="EA15" s="57"/>
      <c r="EB15" s="57"/>
      <c r="EC15" s="57"/>
      <c r="ED15" s="57"/>
      <c r="EE15" s="57"/>
      <c r="EF15" s="57"/>
      <c r="EG15" s="24">
        <f t="array" ref="EG15">IF(ISNUMBER(DW15),INDEX('hyper-reps-lookup-table'!$B$2:$AE$31,DW15,DV15+1)*DU15*(36/(37-(DW15+DV15))),0)</f>
        <v>0</v>
      </c>
      <c r="EH15" s="24">
        <f t="array" ref="EH15">IF(ISNUMBER(DX15),INDEX('hyper-reps-lookup-table'!$B$2:$AE$31,DX15,DV15+1)*DU15*(36/(37-(DX15+DV15))),0)</f>
        <v>0</v>
      </c>
      <c r="EI15" s="24">
        <f t="array" ref="EI15">IF(ISNUMBER(DY15),INDEX('hyper-reps-lookup-table'!$B$2:$AE$31,DY15,DV15+1)*DU15*(36/(37-(DY15+DV15))),0)</f>
        <v>0</v>
      </c>
      <c r="EJ15" s="24">
        <f t="array" ref="EJ15">IF(ISNUMBER(DZ15),INDEX('hyper-reps-lookup-table'!$B$2:$AE$31,DZ15,DV15+1)*DU15*(36/(37-(DZ15+DV15))),0)</f>
        <v>0</v>
      </c>
      <c r="EK15" s="24">
        <f t="array" ref="EK15">IF(ISNUMBER(EA15),INDEX('hyper-reps-lookup-table'!$B$2:$AE$31,EA15,DV15+1)*DU15*(36/(37-(EA15+DV15))),0)</f>
        <v>0</v>
      </c>
      <c r="EL15" s="24">
        <f t="array" ref="EL15">IF(ISNUMBER(EB15),INDEX('hyper-reps-lookup-table'!$B$2:$AE$31,EB15,DV15+1)*DU15*(36/(37-(EB15+DV15))),0)</f>
        <v>0</v>
      </c>
      <c r="EM15" s="24">
        <f t="array" ref="EM15">IF(ISNUMBER(EC15),INDEX('hyper-reps-lookup-table'!$B$2:$AE$31,EC15,DV15+1)*DU15*(36/(37-(EC15+DV15))),0)</f>
        <v>0</v>
      </c>
      <c r="EN15" s="24">
        <f t="array" ref="EN15">IF(ISNUMBER(ED15),INDEX('hyper-reps-lookup-table'!$B$2:$AE$31,ED15,DV15+1)*DU15*(36/(37-(ED15+DV15))),0)</f>
        <v>0</v>
      </c>
      <c r="EO15" s="24">
        <f t="array" ref="EO15">IF(ISNUMBER(EE15),INDEX('hyper-reps-lookup-table'!$B$2:$AE$31,EE15,DV15+1)*DU15*(36/(37-(EE15+DV15))),0)</f>
        <v>0</v>
      </c>
      <c r="EP15" s="24">
        <f t="array" ref="EP15">IF(ISNUMBER(EF15),INDEX('hyper-reps-lookup-table'!$B$2:$AE$31,EF15,DV15+1)*DU15*(36/(37-(EF15+DV15))),0)</f>
        <v>0</v>
      </c>
      <c r="EQ15" s="55">
        <f t="shared" si="95"/>
        <v>0</v>
      </c>
      <c r="ER15" s="24">
        <f t="shared" si="96"/>
        <v>0</v>
      </c>
      <c r="ES15" s="24">
        <f t="shared" si="97"/>
        <v>0</v>
      </c>
      <c r="ET15" s="24">
        <f t="shared" si="98"/>
        <v>0</v>
      </c>
      <c r="EU15" s="24">
        <f t="shared" si="99"/>
        <v>0</v>
      </c>
      <c r="EV15" s="24">
        <f t="shared" si="100"/>
        <v>0</v>
      </c>
      <c r="EW15" s="5">
        <f t="shared" si="101"/>
        <v>0</v>
      </c>
      <c r="EX15" s="5">
        <f t="shared" si="102"/>
        <v>0</v>
      </c>
      <c r="EY15" s="24">
        <f t="shared" si="103"/>
        <v>0</v>
      </c>
      <c r="EZ15" s="24">
        <f t="shared" si="104"/>
        <v>0</v>
      </c>
      <c r="FA15" s="14"/>
    </row>
    <row r="16">
      <c r="A16" s="13"/>
      <c r="B16" s="27" t="s">
        <v>61</v>
      </c>
      <c r="C16" s="23">
        <v>100.0</v>
      </c>
      <c r="D16" s="29">
        <v>0.8</v>
      </c>
      <c r="E16" s="29">
        <v>0.85</v>
      </c>
      <c r="F16" s="23">
        <v>3.0</v>
      </c>
      <c r="G16" s="33">
        <v>90.0</v>
      </c>
      <c r="H16" s="33">
        <v>2.5</v>
      </c>
      <c r="I16" s="4" t="str">
        <f t="shared" si="53"/>
        <v>Lat Pulldown (RPT) [Unica]</v>
      </c>
      <c r="J16" s="27">
        <f t="shared" si="54"/>
        <v>1</v>
      </c>
      <c r="K16" s="24">
        <f t="shared" si="55"/>
        <v>1</v>
      </c>
      <c r="L16" s="5"/>
      <c r="M16" s="5">
        <f t="shared" si="56"/>
        <v>80</v>
      </c>
      <c r="N16" s="5">
        <f t="shared" si="57"/>
        <v>80</v>
      </c>
      <c r="O16" s="23">
        <v>0.0</v>
      </c>
      <c r="P16" s="23"/>
      <c r="Q16" s="23"/>
      <c r="R16" s="24"/>
      <c r="S16" s="24"/>
      <c r="T16" s="24"/>
      <c r="U16" s="24"/>
      <c r="V16" s="24"/>
      <c r="W16" s="24"/>
      <c r="X16" s="24"/>
      <c r="Y16" s="24"/>
      <c r="Z16" s="24">
        <f t="array" ref="Z16">IF(ISNUMBER(P16),INDEX('hyper-reps-lookup-table'!$B$2:$AE$31,P16,O16+1)*N16*(36/(37-(P16+O16))),0)</f>
        <v>0</v>
      </c>
      <c r="AA16" s="24">
        <f t="array" ref="AA16">IF(ISNUMBER(Q16),INDEX('hyper-reps-lookup-table'!$B$2:$AE$31,Q16,O16+1)*N16*(36/(37-(Q16+O16))),0)</f>
        <v>0</v>
      </c>
      <c r="AB16" s="24">
        <f t="array" ref="AB16">IF(ISNUMBER(R16),INDEX('hyper-reps-lookup-table'!$B$2:$AE$31,R16,O16+1)*N16*(36/(37-(R16+O16))),0)</f>
        <v>0</v>
      </c>
      <c r="AC16" s="24">
        <f t="array" ref="AC16">IF(ISNUMBER(S16),INDEX('hyper-reps-lookup-table'!$B$2:$AE$31,S16,O16+1)*N16*(36/(37-(S16+O16))),0)</f>
        <v>0</v>
      </c>
      <c r="AD16" s="24">
        <f t="array" ref="AD16">IF(ISNUMBER(T16),INDEX('hyper-reps-lookup-table'!$B$2:$AE$31,T16,O16+1)*N16*(36/(37-(T16+O16))),0)</f>
        <v>0</v>
      </c>
      <c r="AE16" s="24">
        <f t="array" ref="AE16">IF(ISNUMBER(U16),INDEX('hyper-reps-lookup-table'!$B$2:$AE$31,U16,O16+1)*N16*(36/(37-(U16+O16))),0)</f>
        <v>0</v>
      </c>
      <c r="AF16" s="24">
        <f t="array" ref="AF16">IF(ISNUMBER(V16),INDEX('hyper-reps-lookup-table'!$B$2:$AE$31,V16,O16+1)*N16*(36/(37-(V16+O16))),0)</f>
        <v>0</v>
      </c>
      <c r="AG16" s="24">
        <f t="array" ref="AG16">IF(ISNUMBER(W16),INDEX('hyper-reps-lookup-table'!$B$2:$AE$31,W16,O16+1)*N16*(36/(37-(W16+O16))),0)</f>
        <v>0</v>
      </c>
      <c r="AH16" s="24">
        <f t="array" ref="AH16">IF(ISNUMBER(X16),INDEX('hyper-reps-lookup-table'!$B$2:$AE$31,X16,O16+1)*N16*(36/(37-(X16+O16))),0)</f>
        <v>0</v>
      </c>
      <c r="AI16" s="24">
        <f t="array" ref="AI16">IF(ISNUMBER(Y16),INDEX('hyper-reps-lookup-table'!$B$2:$AE$31,Y16,O16+1)*N16*(36/(37-(Y16+O16))),0)</f>
        <v>0</v>
      </c>
      <c r="AJ16" s="55">
        <f t="shared" si="58"/>
        <v>0</v>
      </c>
      <c r="AK16" s="24">
        <f t="shared" si="59"/>
        <v>0</v>
      </c>
      <c r="AL16" s="24">
        <f t="shared" si="60"/>
        <v>0</v>
      </c>
      <c r="AM16" s="24">
        <f t="shared" si="61"/>
        <v>0</v>
      </c>
      <c r="AN16" s="24">
        <v>0.0</v>
      </c>
      <c r="AO16" s="24">
        <v>0.0</v>
      </c>
      <c r="AP16" s="5">
        <v>0.0</v>
      </c>
      <c r="AQ16" s="5">
        <v>0.0</v>
      </c>
      <c r="AR16" s="24">
        <v>0.0</v>
      </c>
      <c r="AS16" s="24">
        <v>0.0</v>
      </c>
      <c r="AT16" s="4" t="str">
        <f t="shared" si="62"/>
        <v>Lat Pulldown (RPT) [Unica]</v>
      </c>
      <c r="AU16" s="24">
        <f t="shared" si="63"/>
        <v>3</v>
      </c>
      <c r="AV16" s="24">
        <f t="shared" si="64"/>
        <v>3</v>
      </c>
      <c r="AW16" s="23"/>
      <c r="AX16" s="5">
        <f t="shared" si="65"/>
        <v>0</v>
      </c>
      <c r="AY16" s="5">
        <f t="shared" si="66"/>
        <v>2.5</v>
      </c>
      <c r="AZ16" s="23">
        <v>0.0</v>
      </c>
      <c r="BA16" s="56"/>
      <c r="BB16" s="56"/>
      <c r="BC16" s="56"/>
      <c r="BD16" s="57"/>
      <c r="BE16" s="57"/>
      <c r="BF16" s="57"/>
      <c r="BG16" s="57"/>
      <c r="BH16" s="57"/>
      <c r="BI16" s="57"/>
      <c r="BJ16" s="57"/>
      <c r="BK16" s="24">
        <f t="array" ref="BK16">IF(ISNUMBER(BA16),INDEX('hyper-reps-lookup-table'!$B$2:$AE$31,BA16,AZ16+1)*AY16*(36/(37-(BA16+AZ16))),0)</f>
        <v>0</v>
      </c>
      <c r="BL16" s="24">
        <f t="array" ref="BL16">IF(ISNUMBER(BB16),INDEX('hyper-reps-lookup-table'!$B$2:$AE$31,BB16,AZ16+1)*AY16*(36/(37-(BB16+AZ16))),0)</f>
        <v>0</v>
      </c>
      <c r="BM16" s="24">
        <f t="array" ref="BM16">IF(ISNUMBER(BC16),INDEX('hyper-reps-lookup-table'!$B$2:$AE$31,BC16,AZ16+1)*AY16*(36/(37-(BC16+AZ16))),0)</f>
        <v>0</v>
      </c>
      <c r="BN16" s="24">
        <f t="array" ref="BN16">IF(ISNUMBER(BD16),INDEX('hyper-reps-lookup-table'!$B$2:$AE$31,BD16,AZ16+1)*AY16*(36/(37-(BD16+AZ16))),0)</f>
        <v>0</v>
      </c>
      <c r="BO16" s="24">
        <f t="array" ref="BO16">IF(ISNUMBER(BE16),INDEX('hyper-reps-lookup-table'!$B$2:$AE$31,BE16,AZ16+1)*AY16*(36/(37-(BE16+AZ16))),0)</f>
        <v>0</v>
      </c>
      <c r="BP16" s="24">
        <f t="array" ref="BP16">IF(ISNUMBER(BF16),INDEX('hyper-reps-lookup-table'!$B$2:$AE$31,BF16,AZ16+1)*AY16*(36/(37-(BF16+AZ16))),0)</f>
        <v>0</v>
      </c>
      <c r="BQ16" s="24">
        <f t="array" ref="BQ16">IF(ISNUMBER(BG16),INDEX('hyper-reps-lookup-table'!$B$2:$AE$31,BG16,AZ16+1)*AY16*(36/(37-(BG16+AZ16))),0)</f>
        <v>0</v>
      </c>
      <c r="BR16" s="24">
        <f t="array" ref="BR16">IF(ISNUMBER(BH16),INDEX('hyper-reps-lookup-table'!$B$2:$AE$31,BH16,AZ16+1)*AY16*(36/(37-(BH16+AZ16))),0)</f>
        <v>0</v>
      </c>
      <c r="BS16" s="24">
        <f t="array" ref="BS16">IF(ISNUMBER(BI16),INDEX('hyper-reps-lookup-table'!$B$2:$AE$31,BI16,AZ16+1)*AY16*(36/(37-(BI16+AZ16))),0)</f>
        <v>0</v>
      </c>
      <c r="BT16" s="24">
        <f t="array" ref="BT16">IF(ISNUMBER(BJ16),INDEX('hyper-reps-lookup-table'!$B$2:$AE$31,BJ16,AZ16+1)*AY16*(36/(37-(BJ16+AZ16))),0)</f>
        <v>0</v>
      </c>
      <c r="BU16" s="55">
        <f t="shared" si="67"/>
        <v>0</v>
      </c>
      <c r="BV16" s="24">
        <f t="shared" si="68"/>
        <v>0</v>
      </c>
      <c r="BW16" s="24">
        <f t="shared" si="69"/>
        <v>0</v>
      </c>
      <c r="BX16" s="24">
        <f t="shared" si="70"/>
        <v>0</v>
      </c>
      <c r="BY16" s="24">
        <f t="shared" si="71"/>
        <v>0</v>
      </c>
      <c r="BZ16" s="24">
        <f t="shared" si="72"/>
        <v>0</v>
      </c>
      <c r="CA16" s="5">
        <f t="shared" si="73"/>
        <v>0</v>
      </c>
      <c r="CB16" s="5">
        <f t="shared" si="74"/>
        <v>0</v>
      </c>
      <c r="CC16" s="24">
        <f t="shared" si="75"/>
        <v>0</v>
      </c>
      <c r="CD16" s="24">
        <f t="shared" si="76"/>
        <v>0</v>
      </c>
      <c r="CE16" s="4" t="str">
        <f t="shared" si="77"/>
        <v>Lat Pulldown (RPT) [Unica]</v>
      </c>
      <c r="CF16" s="24"/>
      <c r="CG16" s="24">
        <f t="shared" si="78"/>
        <v>3</v>
      </c>
      <c r="CH16" s="23"/>
      <c r="CI16" s="5">
        <f t="shared" si="79"/>
        <v>0</v>
      </c>
      <c r="CJ16" s="5">
        <f t="shared" si="80"/>
        <v>2.5</v>
      </c>
      <c r="CK16" s="23">
        <v>0.0</v>
      </c>
      <c r="CL16" s="56"/>
      <c r="CM16" s="56"/>
      <c r="CN16" s="56"/>
      <c r="CO16" s="57"/>
      <c r="CP16" s="57"/>
      <c r="CQ16" s="57"/>
      <c r="CR16" s="57"/>
      <c r="CS16" s="57"/>
      <c r="CT16" s="57"/>
      <c r="CU16" s="57"/>
      <c r="CV16" s="24">
        <f t="array" ref="CV16">IF(ISNUMBER(CL16),INDEX('hyper-reps-lookup-table'!$B$2:$AE$31,CL16,CK16+1)*CJ16*(36/(37-(CL16+CK16))),0)</f>
        <v>0</v>
      </c>
      <c r="CW16" s="24">
        <f t="array" ref="CW16">IF(ISNUMBER(CM16),INDEX('hyper-reps-lookup-table'!$B$2:$AE$31,CM16,CK16+1)*CJ16*(36/(37-(CM16+CK16))),0)</f>
        <v>0</v>
      </c>
      <c r="CX16" s="24">
        <f t="array" ref="CX16">IF(ISNUMBER(CN16),INDEX('hyper-reps-lookup-table'!$B$2:$AE$31,CN16,CK16+1)*CJ16*(36/(37-(CN16+CK16))),0)</f>
        <v>0</v>
      </c>
      <c r="CY16" s="24">
        <f t="array" ref="CY16">IF(ISNUMBER(CO16),INDEX('hyper-reps-lookup-table'!$B$2:$AE$31,CO16,CK16+1)*CJ16*(36/(37-(CO16+CK16))),0)</f>
        <v>0</v>
      </c>
      <c r="CZ16" s="24">
        <f t="array" ref="CZ16">IF(ISNUMBER(CP16),INDEX('hyper-reps-lookup-table'!$B$2:$AE$31,CP16,CK16+1)*CJ16*(36/(37-(CP16+CK16))),0)</f>
        <v>0</v>
      </c>
      <c r="DA16" s="24">
        <f t="array" ref="DA16">IF(ISNUMBER(CQ16),INDEX('hyper-reps-lookup-table'!$B$2:$AE$31,CQ16,CK16+1)*CJ16*(36/(37-(CQ16+CK16))),0)</f>
        <v>0</v>
      </c>
      <c r="DB16" s="24">
        <f t="array" ref="DB16">IF(ISNUMBER(CR16),INDEX('hyper-reps-lookup-table'!$B$2:$AE$31,CR16,CK16+1)*CJ16*(36/(37-(CR16+CK16))),0)</f>
        <v>0</v>
      </c>
      <c r="DC16" s="24">
        <f t="array" ref="DC16">IF(ISNUMBER(CS16),INDEX('hyper-reps-lookup-table'!$B$2:$AE$31,CS16,CK16+1)*CJ16*(36/(37-(CS16+CK16))),0)</f>
        <v>0</v>
      </c>
      <c r="DD16" s="24">
        <f t="array" ref="DD16">IF(ISNUMBER(CT16),INDEX('hyper-reps-lookup-table'!$B$2:$AE$31,CT16,CK16+1)*CJ16*(36/(37-(CT16+CK16))),0)</f>
        <v>0</v>
      </c>
      <c r="DE16" s="24">
        <f t="array" ref="DE16">IF(ISNUMBER(CU16),INDEX('hyper-reps-lookup-table'!$B$2:$AE$31,CU16,CK16+1)*CJ16*(36/(37-(CU16+CK16))),0)</f>
        <v>0</v>
      </c>
      <c r="DF16" s="55">
        <f t="shared" si="81"/>
        <v>0</v>
      </c>
      <c r="DG16" s="24">
        <f t="shared" si="82"/>
        <v>0</v>
      </c>
      <c r="DH16" s="24">
        <f t="shared" si="83"/>
        <v>0</v>
      </c>
      <c r="DI16" s="24">
        <f t="shared" si="84"/>
        <v>0</v>
      </c>
      <c r="DJ16" s="24">
        <f t="shared" si="85"/>
        <v>0</v>
      </c>
      <c r="DK16" s="24">
        <f t="shared" si="86"/>
        <v>0</v>
      </c>
      <c r="DL16" s="5">
        <f t="shared" si="87"/>
        <v>0</v>
      </c>
      <c r="DM16" s="5">
        <f t="shared" si="88"/>
        <v>0</v>
      </c>
      <c r="DN16" s="24">
        <f t="shared" si="89"/>
        <v>0</v>
      </c>
      <c r="DO16" s="24">
        <f t="shared" si="90"/>
        <v>0</v>
      </c>
      <c r="DP16" s="4" t="str">
        <f t="shared" si="91"/>
        <v>Lat Pulldown (RPT) [Unica]</v>
      </c>
      <c r="DQ16" s="24"/>
      <c r="DR16" s="24">
        <f t="shared" si="92"/>
        <v>3</v>
      </c>
      <c r="DS16" s="23"/>
      <c r="DT16" s="5">
        <f t="shared" si="93"/>
        <v>0</v>
      </c>
      <c r="DU16" s="5">
        <f t="shared" si="94"/>
        <v>2.5</v>
      </c>
      <c r="DV16" s="23">
        <v>0.0</v>
      </c>
      <c r="DW16" s="56"/>
      <c r="DX16" s="56"/>
      <c r="DY16" s="56"/>
      <c r="DZ16" s="57"/>
      <c r="EA16" s="57"/>
      <c r="EB16" s="57"/>
      <c r="EC16" s="57"/>
      <c r="ED16" s="57"/>
      <c r="EE16" s="57"/>
      <c r="EF16" s="57"/>
      <c r="EG16" s="24">
        <f t="array" ref="EG16">IF(ISNUMBER(DW16),INDEX('hyper-reps-lookup-table'!$B$2:$AE$31,DW16,DV16+1)*DU16*(36/(37-(DW16+DV16))),0)</f>
        <v>0</v>
      </c>
      <c r="EH16" s="24">
        <f t="array" ref="EH16">IF(ISNUMBER(DX16),INDEX('hyper-reps-lookup-table'!$B$2:$AE$31,DX16,DV16+1)*DU16*(36/(37-(DX16+DV16))),0)</f>
        <v>0</v>
      </c>
      <c r="EI16" s="24">
        <f t="array" ref="EI16">IF(ISNUMBER(DY16),INDEX('hyper-reps-lookup-table'!$B$2:$AE$31,DY16,DV16+1)*DU16*(36/(37-(DY16+DV16))),0)</f>
        <v>0</v>
      </c>
      <c r="EJ16" s="24">
        <f t="array" ref="EJ16">IF(ISNUMBER(DZ16),INDEX('hyper-reps-lookup-table'!$B$2:$AE$31,DZ16,DV16+1)*DU16*(36/(37-(DZ16+DV16))),0)</f>
        <v>0</v>
      </c>
      <c r="EK16" s="24">
        <f t="array" ref="EK16">IF(ISNUMBER(EA16),INDEX('hyper-reps-lookup-table'!$B$2:$AE$31,EA16,DV16+1)*DU16*(36/(37-(EA16+DV16))),0)</f>
        <v>0</v>
      </c>
      <c r="EL16" s="24">
        <f t="array" ref="EL16">IF(ISNUMBER(EB16),INDEX('hyper-reps-lookup-table'!$B$2:$AE$31,EB16,DV16+1)*DU16*(36/(37-(EB16+DV16))),0)</f>
        <v>0</v>
      </c>
      <c r="EM16" s="24">
        <f t="array" ref="EM16">IF(ISNUMBER(EC16),INDEX('hyper-reps-lookup-table'!$B$2:$AE$31,EC16,DV16+1)*DU16*(36/(37-(EC16+DV16))),0)</f>
        <v>0</v>
      </c>
      <c r="EN16" s="24">
        <f t="array" ref="EN16">IF(ISNUMBER(ED16),INDEX('hyper-reps-lookup-table'!$B$2:$AE$31,ED16,DV16+1)*DU16*(36/(37-(ED16+DV16))),0)</f>
        <v>0</v>
      </c>
      <c r="EO16" s="24">
        <f t="array" ref="EO16">IF(ISNUMBER(EE16),INDEX('hyper-reps-lookup-table'!$B$2:$AE$31,EE16,DV16+1)*DU16*(36/(37-(EE16+DV16))),0)</f>
        <v>0</v>
      </c>
      <c r="EP16" s="24">
        <f t="array" ref="EP16">IF(ISNUMBER(EF16),INDEX('hyper-reps-lookup-table'!$B$2:$AE$31,EF16,DV16+1)*DU16*(36/(37-(EF16+DV16))),0)</f>
        <v>0</v>
      </c>
      <c r="EQ16" s="55">
        <f t="shared" si="95"/>
        <v>0</v>
      </c>
      <c r="ER16" s="24">
        <f t="shared" si="96"/>
        <v>0</v>
      </c>
      <c r="ES16" s="24">
        <f t="shared" si="97"/>
        <v>0</v>
      </c>
      <c r="ET16" s="24">
        <f t="shared" si="98"/>
        <v>0</v>
      </c>
      <c r="EU16" s="24">
        <f t="shared" si="99"/>
        <v>0</v>
      </c>
      <c r="EV16" s="24">
        <f t="shared" si="100"/>
        <v>0</v>
      </c>
      <c r="EW16" s="5">
        <f t="shared" si="101"/>
        <v>0</v>
      </c>
      <c r="EX16" s="5">
        <f t="shared" si="102"/>
        <v>0</v>
      </c>
      <c r="EY16" s="24">
        <f t="shared" si="103"/>
        <v>0</v>
      </c>
      <c r="EZ16" s="24">
        <f t="shared" si="104"/>
        <v>0</v>
      </c>
      <c r="FA16" s="14"/>
    </row>
    <row r="17">
      <c r="A17" s="13"/>
      <c r="B17" s="27" t="s">
        <v>62</v>
      </c>
      <c r="C17" s="23">
        <v>100.0</v>
      </c>
      <c r="D17" s="29">
        <v>0.75</v>
      </c>
      <c r="E17" s="29">
        <v>0.8</v>
      </c>
      <c r="F17" s="23">
        <v>4.0</v>
      </c>
      <c r="G17" s="33">
        <v>180.0</v>
      </c>
      <c r="H17" s="33">
        <v>0.5</v>
      </c>
      <c r="I17" s="4" t="str">
        <f t="shared" si="53"/>
        <v>Lateral Raise (RPT) [Trainer+]</v>
      </c>
      <c r="J17" s="27">
        <f t="shared" ref="J17:J20" si="105">MAX(ROUND($F17*50%,0),1)</f>
        <v>2</v>
      </c>
      <c r="K17" s="24">
        <f t="shared" si="55"/>
        <v>2</v>
      </c>
      <c r="L17" s="5"/>
      <c r="M17" s="5">
        <f t="shared" si="56"/>
        <v>75</v>
      </c>
      <c r="N17" s="5">
        <f t="shared" si="57"/>
        <v>75</v>
      </c>
      <c r="O17" s="23">
        <v>0.0</v>
      </c>
      <c r="P17" s="23"/>
      <c r="Q17" s="23"/>
      <c r="R17" s="24"/>
      <c r="S17" s="24"/>
      <c r="T17" s="24"/>
      <c r="U17" s="24"/>
      <c r="V17" s="24"/>
      <c r="W17" s="24"/>
      <c r="X17" s="24"/>
      <c r="Y17" s="24"/>
      <c r="Z17" s="24">
        <f t="array" ref="Z17">IF(ISNUMBER(P17),INDEX('hyper-reps-lookup-table'!$B$2:$AE$31,P17,O17+1)*N17*(36/(37-(P17+O17))),0)</f>
        <v>0</v>
      </c>
      <c r="AA17" s="24">
        <f t="array" ref="AA17">IF(ISNUMBER(Q17),INDEX('hyper-reps-lookup-table'!$B$2:$AE$31,Q17,O17+1)*N17*(36/(37-(Q17+O17))),0)</f>
        <v>0</v>
      </c>
      <c r="AB17" s="24">
        <f t="array" ref="AB17">IF(ISNUMBER(R17),INDEX('hyper-reps-lookup-table'!$B$2:$AE$31,R17,O17+1)*N17*(36/(37-(R17+O17))),0)</f>
        <v>0</v>
      </c>
      <c r="AC17" s="24">
        <f t="array" ref="AC17">IF(ISNUMBER(S17),INDEX('hyper-reps-lookup-table'!$B$2:$AE$31,S17,O17+1)*N17*(36/(37-(S17+O17))),0)</f>
        <v>0</v>
      </c>
      <c r="AD17" s="24">
        <f t="array" ref="AD17">IF(ISNUMBER(T17),INDEX('hyper-reps-lookup-table'!$B$2:$AE$31,T17,O17+1)*N17*(36/(37-(T17+O17))),0)</f>
        <v>0</v>
      </c>
      <c r="AE17" s="24">
        <f t="array" ref="AE17">IF(ISNUMBER(U17),INDEX('hyper-reps-lookup-table'!$B$2:$AE$31,U17,O17+1)*N17*(36/(37-(U17+O17))),0)</f>
        <v>0</v>
      </c>
      <c r="AF17" s="24">
        <f t="array" ref="AF17">IF(ISNUMBER(V17),INDEX('hyper-reps-lookup-table'!$B$2:$AE$31,V17,O17+1)*N17*(36/(37-(V17+O17))),0)</f>
        <v>0</v>
      </c>
      <c r="AG17" s="24">
        <f t="array" ref="AG17">IF(ISNUMBER(W17),INDEX('hyper-reps-lookup-table'!$B$2:$AE$31,W17,O17+1)*N17*(36/(37-(W17+O17))),0)</f>
        <v>0</v>
      </c>
      <c r="AH17" s="24">
        <f t="array" ref="AH17">IF(ISNUMBER(X17),INDEX('hyper-reps-lookup-table'!$B$2:$AE$31,X17,O17+1)*N17*(36/(37-(X17+O17))),0)</f>
        <v>0</v>
      </c>
      <c r="AI17" s="24">
        <f t="array" ref="AI17">IF(ISNUMBER(Y17),INDEX('hyper-reps-lookup-table'!$B$2:$AE$31,Y17,O17+1)*N17*(36/(37-(Y17+O17))),0)</f>
        <v>0</v>
      </c>
      <c r="AJ17" s="55">
        <f t="shared" si="58"/>
        <v>0</v>
      </c>
      <c r="AK17" s="24">
        <f t="shared" si="59"/>
        <v>0</v>
      </c>
      <c r="AL17" s="24">
        <f t="shared" si="60"/>
        <v>0</v>
      </c>
      <c r="AM17" s="24">
        <f t="shared" si="61"/>
        <v>0</v>
      </c>
      <c r="AN17" s="24">
        <v>0.0</v>
      </c>
      <c r="AO17" s="24">
        <v>0.0</v>
      </c>
      <c r="AP17" s="5">
        <v>0.0</v>
      </c>
      <c r="AQ17" s="5">
        <v>0.0</v>
      </c>
      <c r="AR17" s="24">
        <v>0.0</v>
      </c>
      <c r="AS17" s="24">
        <v>0.0</v>
      </c>
      <c r="AT17" s="4" t="str">
        <f t="shared" si="62"/>
        <v>Lateral Raise (RPT) [Trainer+]</v>
      </c>
      <c r="AU17" s="24">
        <f t="shared" si="63"/>
        <v>4</v>
      </c>
      <c r="AV17" s="24">
        <f t="shared" si="64"/>
        <v>4</v>
      </c>
      <c r="AW17" s="23"/>
      <c r="AX17" s="5">
        <f t="shared" si="65"/>
        <v>0</v>
      </c>
      <c r="AY17" s="5">
        <f t="shared" si="66"/>
        <v>0.5</v>
      </c>
      <c r="AZ17" s="23">
        <v>0.0</v>
      </c>
      <c r="BA17" s="56"/>
      <c r="BB17" s="56"/>
      <c r="BC17" s="56"/>
      <c r="BD17" s="57"/>
      <c r="BE17" s="57"/>
      <c r="BF17" s="57"/>
      <c r="BG17" s="57"/>
      <c r="BH17" s="57"/>
      <c r="BI17" s="57"/>
      <c r="BJ17" s="57"/>
      <c r="BK17" s="24">
        <f t="array" ref="BK17">IF(ISNUMBER(BA17),INDEX('hyper-reps-lookup-table'!$B$2:$AE$31,BA17,AZ17+1)*AY17*(36/(37-(BA17+AZ17))),0)</f>
        <v>0</v>
      </c>
      <c r="BL17" s="24">
        <f t="array" ref="BL17">IF(ISNUMBER(BB17),INDEX('hyper-reps-lookup-table'!$B$2:$AE$31,BB17,AZ17+1)*AY17*(36/(37-(BB17+AZ17))),0)</f>
        <v>0</v>
      </c>
      <c r="BM17" s="24">
        <f t="array" ref="BM17">IF(ISNUMBER(BC17),INDEX('hyper-reps-lookup-table'!$B$2:$AE$31,BC17,AZ17+1)*AY17*(36/(37-(BC17+AZ17))),0)</f>
        <v>0</v>
      </c>
      <c r="BN17" s="24">
        <f t="array" ref="BN17">IF(ISNUMBER(BD17),INDEX('hyper-reps-lookup-table'!$B$2:$AE$31,BD17,AZ17+1)*AY17*(36/(37-(BD17+AZ17))),0)</f>
        <v>0</v>
      </c>
      <c r="BO17" s="24">
        <f t="array" ref="BO17">IF(ISNUMBER(BE17),INDEX('hyper-reps-lookup-table'!$B$2:$AE$31,BE17,AZ17+1)*AY17*(36/(37-(BE17+AZ17))),0)</f>
        <v>0</v>
      </c>
      <c r="BP17" s="24">
        <f t="array" ref="BP17">IF(ISNUMBER(BF17),INDEX('hyper-reps-lookup-table'!$B$2:$AE$31,BF17,AZ17+1)*AY17*(36/(37-(BF17+AZ17))),0)</f>
        <v>0</v>
      </c>
      <c r="BQ17" s="24">
        <f t="array" ref="BQ17">IF(ISNUMBER(BG17),INDEX('hyper-reps-lookup-table'!$B$2:$AE$31,BG17,AZ17+1)*AY17*(36/(37-(BG17+AZ17))),0)</f>
        <v>0</v>
      </c>
      <c r="BR17" s="24">
        <f t="array" ref="BR17">IF(ISNUMBER(BH17),INDEX('hyper-reps-lookup-table'!$B$2:$AE$31,BH17,AZ17+1)*AY17*(36/(37-(BH17+AZ17))),0)</f>
        <v>0</v>
      </c>
      <c r="BS17" s="24">
        <f t="array" ref="BS17">IF(ISNUMBER(BI17),INDEX('hyper-reps-lookup-table'!$B$2:$AE$31,BI17,AZ17+1)*AY17*(36/(37-(BI17+AZ17))),0)</f>
        <v>0</v>
      </c>
      <c r="BT17" s="24">
        <f t="array" ref="BT17">IF(ISNUMBER(BJ17),INDEX('hyper-reps-lookup-table'!$B$2:$AE$31,BJ17,AZ17+1)*AY17*(36/(37-(BJ17+AZ17))),0)</f>
        <v>0</v>
      </c>
      <c r="BU17" s="55">
        <f t="shared" si="67"/>
        <v>0</v>
      </c>
      <c r="BV17" s="24">
        <f t="shared" si="68"/>
        <v>0</v>
      </c>
      <c r="BW17" s="24">
        <f t="shared" si="69"/>
        <v>0</v>
      </c>
      <c r="BX17" s="24">
        <f t="shared" si="70"/>
        <v>0</v>
      </c>
      <c r="BY17" s="24">
        <f t="shared" si="71"/>
        <v>0</v>
      </c>
      <c r="BZ17" s="24">
        <f t="shared" si="72"/>
        <v>0</v>
      </c>
      <c r="CA17" s="5">
        <f t="shared" si="73"/>
        <v>0</v>
      </c>
      <c r="CB17" s="5">
        <f t="shared" si="74"/>
        <v>0</v>
      </c>
      <c r="CC17" s="24">
        <f t="shared" si="75"/>
        <v>0</v>
      </c>
      <c r="CD17" s="24">
        <f t="shared" si="76"/>
        <v>0</v>
      </c>
      <c r="CE17" s="4" t="str">
        <f t="shared" si="77"/>
        <v>Lateral Raise (RPT) [Trainer+]</v>
      </c>
      <c r="CF17" s="24"/>
      <c r="CG17" s="24">
        <f t="shared" si="78"/>
        <v>4</v>
      </c>
      <c r="CH17" s="23"/>
      <c r="CI17" s="5">
        <f t="shared" si="79"/>
        <v>0</v>
      </c>
      <c r="CJ17" s="5">
        <f t="shared" si="80"/>
        <v>0.5</v>
      </c>
      <c r="CK17" s="23">
        <v>0.0</v>
      </c>
      <c r="CL17" s="56"/>
      <c r="CM17" s="56"/>
      <c r="CN17" s="56"/>
      <c r="CO17" s="57"/>
      <c r="CP17" s="57"/>
      <c r="CQ17" s="57"/>
      <c r="CR17" s="57"/>
      <c r="CS17" s="57"/>
      <c r="CT17" s="57"/>
      <c r="CU17" s="57"/>
      <c r="CV17" s="24">
        <f t="array" ref="CV17">IF(ISNUMBER(CL17),INDEX('hyper-reps-lookup-table'!$B$2:$AE$31,CL17,CK17+1)*CJ17*(36/(37-(CL17+CK17))),0)</f>
        <v>0</v>
      </c>
      <c r="CW17" s="24">
        <f t="array" ref="CW17">IF(ISNUMBER(CM17),INDEX('hyper-reps-lookup-table'!$B$2:$AE$31,CM17,CK17+1)*CJ17*(36/(37-(CM17+CK17))),0)</f>
        <v>0</v>
      </c>
      <c r="CX17" s="24">
        <f t="array" ref="CX17">IF(ISNUMBER(CN17),INDEX('hyper-reps-lookup-table'!$B$2:$AE$31,CN17,CK17+1)*CJ17*(36/(37-(CN17+CK17))),0)</f>
        <v>0</v>
      </c>
      <c r="CY17" s="24">
        <f t="array" ref="CY17">IF(ISNUMBER(CO17),INDEX('hyper-reps-lookup-table'!$B$2:$AE$31,CO17,CK17+1)*CJ17*(36/(37-(CO17+CK17))),0)</f>
        <v>0</v>
      </c>
      <c r="CZ17" s="24">
        <f t="array" ref="CZ17">IF(ISNUMBER(CP17),INDEX('hyper-reps-lookup-table'!$B$2:$AE$31,CP17,CK17+1)*CJ17*(36/(37-(CP17+CK17))),0)</f>
        <v>0</v>
      </c>
      <c r="DA17" s="24">
        <f t="array" ref="DA17">IF(ISNUMBER(CQ17),INDEX('hyper-reps-lookup-table'!$B$2:$AE$31,CQ17,CK17+1)*CJ17*(36/(37-(CQ17+CK17))),0)</f>
        <v>0</v>
      </c>
      <c r="DB17" s="24">
        <f t="array" ref="DB17">IF(ISNUMBER(CR17),INDEX('hyper-reps-lookup-table'!$B$2:$AE$31,CR17,CK17+1)*CJ17*(36/(37-(CR17+CK17))),0)</f>
        <v>0</v>
      </c>
      <c r="DC17" s="24">
        <f t="array" ref="DC17">IF(ISNUMBER(CS17),INDEX('hyper-reps-lookup-table'!$B$2:$AE$31,CS17,CK17+1)*CJ17*(36/(37-(CS17+CK17))),0)</f>
        <v>0</v>
      </c>
      <c r="DD17" s="24">
        <f t="array" ref="DD17">IF(ISNUMBER(CT17),INDEX('hyper-reps-lookup-table'!$B$2:$AE$31,CT17,CK17+1)*CJ17*(36/(37-(CT17+CK17))),0)</f>
        <v>0</v>
      </c>
      <c r="DE17" s="24">
        <f t="array" ref="DE17">IF(ISNUMBER(CU17),INDEX('hyper-reps-lookup-table'!$B$2:$AE$31,CU17,CK17+1)*CJ17*(36/(37-(CU17+CK17))),0)</f>
        <v>0</v>
      </c>
      <c r="DF17" s="55">
        <f t="shared" si="81"/>
        <v>0</v>
      </c>
      <c r="DG17" s="24">
        <f t="shared" si="82"/>
        <v>0</v>
      </c>
      <c r="DH17" s="24">
        <f t="shared" si="83"/>
        <v>0</v>
      </c>
      <c r="DI17" s="24">
        <f t="shared" si="84"/>
        <v>0</v>
      </c>
      <c r="DJ17" s="24">
        <f t="shared" si="85"/>
        <v>0</v>
      </c>
      <c r="DK17" s="24">
        <f t="shared" si="86"/>
        <v>0</v>
      </c>
      <c r="DL17" s="5">
        <f t="shared" si="87"/>
        <v>0</v>
      </c>
      <c r="DM17" s="5">
        <f t="shared" si="88"/>
        <v>0</v>
      </c>
      <c r="DN17" s="24">
        <f t="shared" si="89"/>
        <v>0</v>
      </c>
      <c r="DO17" s="24">
        <f t="shared" si="90"/>
        <v>0</v>
      </c>
      <c r="DP17" s="4" t="str">
        <f t="shared" si="91"/>
        <v>Lateral Raise (RPT) [Trainer+]</v>
      </c>
      <c r="DQ17" s="24"/>
      <c r="DR17" s="24">
        <f t="shared" si="92"/>
        <v>4</v>
      </c>
      <c r="DS17" s="23"/>
      <c r="DT17" s="5">
        <f t="shared" si="93"/>
        <v>0</v>
      </c>
      <c r="DU17" s="5">
        <f t="shared" si="94"/>
        <v>0.5</v>
      </c>
      <c r="DV17" s="23">
        <v>0.0</v>
      </c>
      <c r="DW17" s="56"/>
      <c r="DX17" s="56"/>
      <c r="DY17" s="56"/>
      <c r="DZ17" s="57"/>
      <c r="EA17" s="57"/>
      <c r="EB17" s="57"/>
      <c r="EC17" s="57"/>
      <c r="ED17" s="57"/>
      <c r="EE17" s="57"/>
      <c r="EF17" s="57"/>
      <c r="EG17" s="24">
        <f t="array" ref="EG17">IF(ISNUMBER(DW17),INDEX('hyper-reps-lookup-table'!$B$2:$AE$31,DW17,DV17+1)*DU17*(36/(37-(DW17+DV17))),0)</f>
        <v>0</v>
      </c>
      <c r="EH17" s="24">
        <f t="array" ref="EH17">IF(ISNUMBER(DX17),INDEX('hyper-reps-lookup-table'!$B$2:$AE$31,DX17,DV17+1)*DU17*(36/(37-(DX17+DV17))),0)</f>
        <v>0</v>
      </c>
      <c r="EI17" s="24">
        <f t="array" ref="EI17">IF(ISNUMBER(DY17),INDEX('hyper-reps-lookup-table'!$B$2:$AE$31,DY17,DV17+1)*DU17*(36/(37-(DY17+DV17))),0)</f>
        <v>0</v>
      </c>
      <c r="EJ17" s="24">
        <f t="array" ref="EJ17">IF(ISNUMBER(DZ17),INDEX('hyper-reps-lookup-table'!$B$2:$AE$31,DZ17,DV17+1)*DU17*(36/(37-(DZ17+DV17))),0)</f>
        <v>0</v>
      </c>
      <c r="EK17" s="24">
        <f t="array" ref="EK17">IF(ISNUMBER(EA17),INDEX('hyper-reps-lookup-table'!$B$2:$AE$31,EA17,DV17+1)*DU17*(36/(37-(EA17+DV17))),0)</f>
        <v>0</v>
      </c>
      <c r="EL17" s="24">
        <f t="array" ref="EL17">IF(ISNUMBER(EB17),INDEX('hyper-reps-lookup-table'!$B$2:$AE$31,EB17,DV17+1)*DU17*(36/(37-(EB17+DV17))),0)</f>
        <v>0</v>
      </c>
      <c r="EM17" s="24">
        <f t="array" ref="EM17">IF(ISNUMBER(EC17),INDEX('hyper-reps-lookup-table'!$B$2:$AE$31,EC17,DV17+1)*DU17*(36/(37-(EC17+DV17))),0)</f>
        <v>0</v>
      </c>
      <c r="EN17" s="24">
        <f t="array" ref="EN17">IF(ISNUMBER(ED17),INDEX('hyper-reps-lookup-table'!$B$2:$AE$31,ED17,DV17+1)*DU17*(36/(37-(ED17+DV17))),0)</f>
        <v>0</v>
      </c>
      <c r="EO17" s="24">
        <f t="array" ref="EO17">IF(ISNUMBER(EE17),INDEX('hyper-reps-lookup-table'!$B$2:$AE$31,EE17,DV17+1)*DU17*(36/(37-(EE17+DV17))),0)</f>
        <v>0</v>
      </c>
      <c r="EP17" s="24">
        <f t="array" ref="EP17">IF(ISNUMBER(EF17),INDEX('hyper-reps-lookup-table'!$B$2:$AE$31,EF17,DV17+1)*DU17*(36/(37-(EF17+DV17))),0)</f>
        <v>0</v>
      </c>
      <c r="EQ17" s="55">
        <f t="shared" si="95"/>
        <v>0</v>
      </c>
      <c r="ER17" s="24">
        <f t="shared" si="96"/>
        <v>0</v>
      </c>
      <c r="ES17" s="24">
        <f t="shared" si="97"/>
        <v>0</v>
      </c>
      <c r="ET17" s="24">
        <f t="shared" si="98"/>
        <v>0</v>
      </c>
      <c r="EU17" s="24">
        <f t="shared" si="99"/>
        <v>0</v>
      </c>
      <c r="EV17" s="24">
        <f t="shared" si="100"/>
        <v>0</v>
      </c>
      <c r="EW17" s="5">
        <f t="shared" si="101"/>
        <v>0</v>
      </c>
      <c r="EX17" s="5">
        <f t="shared" si="102"/>
        <v>0</v>
      </c>
      <c r="EY17" s="24">
        <f t="shared" si="103"/>
        <v>0</v>
      </c>
      <c r="EZ17" s="24">
        <f t="shared" si="104"/>
        <v>0</v>
      </c>
      <c r="FA17" s="14"/>
    </row>
    <row r="18">
      <c r="A18" s="13"/>
      <c r="B18" s="27" t="s">
        <v>63</v>
      </c>
      <c r="C18" s="23">
        <v>100.0</v>
      </c>
      <c r="D18" s="29">
        <v>0.8</v>
      </c>
      <c r="E18" s="29">
        <v>0.85</v>
      </c>
      <c r="F18" s="23">
        <v>4.0</v>
      </c>
      <c r="G18" s="33">
        <v>90.0</v>
      </c>
      <c r="H18" s="33">
        <v>2.5</v>
      </c>
      <c r="I18" s="4" t="str">
        <f t="shared" si="53"/>
        <v>Rope Seated Face Pull (RPT) [Unica]</v>
      </c>
      <c r="J18" s="27">
        <f t="shared" si="105"/>
        <v>2</v>
      </c>
      <c r="K18" s="24">
        <f t="shared" si="55"/>
        <v>2</v>
      </c>
      <c r="L18" s="5"/>
      <c r="M18" s="5">
        <f t="shared" si="56"/>
        <v>80</v>
      </c>
      <c r="N18" s="5">
        <f t="shared" si="57"/>
        <v>80</v>
      </c>
      <c r="O18" s="23">
        <v>0.0</v>
      </c>
      <c r="P18" s="23"/>
      <c r="Q18" s="23"/>
      <c r="R18" s="24"/>
      <c r="S18" s="24"/>
      <c r="T18" s="24"/>
      <c r="U18" s="24"/>
      <c r="V18" s="24"/>
      <c r="W18" s="24"/>
      <c r="X18" s="24"/>
      <c r="Y18" s="24"/>
      <c r="Z18" s="24">
        <f t="array" ref="Z18">IF(ISNUMBER(P18),INDEX('hyper-reps-lookup-table'!$B$2:$AE$31,P18,O18+1)*N18*(36/(37-(P18+O18))),0)</f>
        <v>0</v>
      </c>
      <c r="AA18" s="24">
        <f t="array" ref="AA18">IF(ISNUMBER(Q18),INDEX('hyper-reps-lookup-table'!$B$2:$AE$31,Q18,O18+1)*N18*(36/(37-(Q18+O18))),0)</f>
        <v>0</v>
      </c>
      <c r="AB18" s="24">
        <f t="array" ref="AB18">IF(ISNUMBER(R18),INDEX('hyper-reps-lookup-table'!$B$2:$AE$31,R18,O18+1)*N18*(36/(37-(R18+O18))),0)</f>
        <v>0</v>
      </c>
      <c r="AC18" s="24">
        <f t="array" ref="AC18">IF(ISNUMBER(S18),INDEX('hyper-reps-lookup-table'!$B$2:$AE$31,S18,O18+1)*N18*(36/(37-(S18+O18))),0)</f>
        <v>0</v>
      </c>
      <c r="AD18" s="24">
        <f t="array" ref="AD18">IF(ISNUMBER(T18),INDEX('hyper-reps-lookup-table'!$B$2:$AE$31,T18,O18+1)*N18*(36/(37-(T18+O18))),0)</f>
        <v>0</v>
      </c>
      <c r="AE18" s="24">
        <f t="array" ref="AE18">IF(ISNUMBER(U18),INDEX('hyper-reps-lookup-table'!$B$2:$AE$31,U18,O18+1)*N18*(36/(37-(U18+O18))),0)</f>
        <v>0</v>
      </c>
      <c r="AF18" s="24">
        <f t="array" ref="AF18">IF(ISNUMBER(V18),INDEX('hyper-reps-lookup-table'!$B$2:$AE$31,V18,O18+1)*N18*(36/(37-(V18+O18))),0)</f>
        <v>0</v>
      </c>
      <c r="AG18" s="24">
        <f t="array" ref="AG18">IF(ISNUMBER(W18),INDEX('hyper-reps-lookup-table'!$B$2:$AE$31,W18,O18+1)*N18*(36/(37-(W18+O18))),0)</f>
        <v>0</v>
      </c>
      <c r="AH18" s="24">
        <f t="array" ref="AH18">IF(ISNUMBER(X18),INDEX('hyper-reps-lookup-table'!$B$2:$AE$31,X18,O18+1)*N18*(36/(37-(X18+O18))),0)</f>
        <v>0</v>
      </c>
      <c r="AI18" s="24">
        <f t="array" ref="AI18">IF(ISNUMBER(Y18),INDEX('hyper-reps-lookup-table'!$B$2:$AE$31,Y18,O18+1)*N18*(36/(37-(Y18+O18))),0)</f>
        <v>0</v>
      </c>
      <c r="AJ18" s="55">
        <f t="shared" si="58"/>
        <v>0</v>
      </c>
      <c r="AK18" s="24">
        <f t="shared" si="59"/>
        <v>0</v>
      </c>
      <c r="AL18" s="24">
        <f t="shared" si="60"/>
        <v>0</v>
      </c>
      <c r="AM18" s="24">
        <f t="shared" si="61"/>
        <v>0</v>
      </c>
      <c r="AN18" s="24">
        <v>0.0</v>
      </c>
      <c r="AO18" s="24">
        <v>0.0</v>
      </c>
      <c r="AP18" s="5">
        <v>0.0</v>
      </c>
      <c r="AQ18" s="5">
        <v>0.0</v>
      </c>
      <c r="AR18" s="24">
        <v>0.0</v>
      </c>
      <c r="AS18" s="24">
        <v>0.0</v>
      </c>
      <c r="AT18" s="4" t="str">
        <f t="shared" si="62"/>
        <v>Rope Seated Face Pull (RPT) [Unica]</v>
      </c>
      <c r="AU18" s="24">
        <f t="shared" si="63"/>
        <v>4</v>
      </c>
      <c r="AV18" s="24">
        <f t="shared" si="64"/>
        <v>4</v>
      </c>
      <c r="AW18" s="23"/>
      <c r="AX18" s="5">
        <f t="shared" si="65"/>
        <v>0</v>
      </c>
      <c r="AY18" s="5">
        <f t="shared" si="66"/>
        <v>2.5</v>
      </c>
      <c r="AZ18" s="23">
        <v>0.0</v>
      </c>
      <c r="BA18" s="56"/>
      <c r="BB18" s="56"/>
      <c r="BC18" s="56"/>
      <c r="BD18" s="57"/>
      <c r="BE18" s="57"/>
      <c r="BF18" s="57"/>
      <c r="BG18" s="57"/>
      <c r="BH18" s="57"/>
      <c r="BI18" s="57"/>
      <c r="BJ18" s="57"/>
      <c r="BK18" s="24">
        <f t="array" ref="BK18">IF(ISNUMBER(BA18),INDEX('hyper-reps-lookup-table'!$B$2:$AE$31,BA18,AZ18+1)*AY18*(36/(37-(BA18+AZ18))),0)</f>
        <v>0</v>
      </c>
      <c r="BL18" s="24">
        <f t="array" ref="BL18">IF(ISNUMBER(BB18),INDEX('hyper-reps-lookup-table'!$B$2:$AE$31,BB18,AZ18+1)*AY18*(36/(37-(BB18+AZ18))),0)</f>
        <v>0</v>
      </c>
      <c r="BM18" s="24">
        <f t="array" ref="BM18">IF(ISNUMBER(BC18),INDEX('hyper-reps-lookup-table'!$B$2:$AE$31,BC18,AZ18+1)*AY18*(36/(37-(BC18+AZ18))),0)</f>
        <v>0</v>
      </c>
      <c r="BN18" s="24">
        <f t="array" ref="BN18">IF(ISNUMBER(BD18),INDEX('hyper-reps-lookup-table'!$B$2:$AE$31,BD18,AZ18+1)*AY18*(36/(37-(BD18+AZ18))),0)</f>
        <v>0</v>
      </c>
      <c r="BO18" s="24">
        <f t="array" ref="BO18">IF(ISNUMBER(BE18),INDEX('hyper-reps-lookup-table'!$B$2:$AE$31,BE18,AZ18+1)*AY18*(36/(37-(BE18+AZ18))),0)</f>
        <v>0</v>
      </c>
      <c r="BP18" s="24">
        <f t="array" ref="BP18">IF(ISNUMBER(BF18),INDEX('hyper-reps-lookup-table'!$B$2:$AE$31,BF18,AZ18+1)*AY18*(36/(37-(BF18+AZ18))),0)</f>
        <v>0</v>
      </c>
      <c r="BQ18" s="24">
        <f t="array" ref="BQ18">IF(ISNUMBER(BG18),INDEX('hyper-reps-lookup-table'!$B$2:$AE$31,BG18,AZ18+1)*AY18*(36/(37-(BG18+AZ18))),0)</f>
        <v>0</v>
      </c>
      <c r="BR18" s="24">
        <f t="array" ref="BR18">IF(ISNUMBER(BH18),INDEX('hyper-reps-lookup-table'!$B$2:$AE$31,BH18,AZ18+1)*AY18*(36/(37-(BH18+AZ18))),0)</f>
        <v>0</v>
      </c>
      <c r="BS18" s="24">
        <f t="array" ref="BS18">IF(ISNUMBER(BI18),INDEX('hyper-reps-lookup-table'!$B$2:$AE$31,BI18,AZ18+1)*AY18*(36/(37-(BI18+AZ18))),0)</f>
        <v>0</v>
      </c>
      <c r="BT18" s="24">
        <f t="array" ref="BT18">IF(ISNUMBER(BJ18),INDEX('hyper-reps-lookup-table'!$B$2:$AE$31,BJ18,AZ18+1)*AY18*(36/(37-(BJ18+AZ18))),0)</f>
        <v>0</v>
      </c>
      <c r="BU18" s="55">
        <f t="shared" si="67"/>
        <v>0</v>
      </c>
      <c r="BV18" s="24">
        <f t="shared" si="68"/>
        <v>0</v>
      </c>
      <c r="BW18" s="24">
        <f t="shared" si="69"/>
        <v>0</v>
      </c>
      <c r="BX18" s="24">
        <f t="shared" si="70"/>
        <v>0</v>
      </c>
      <c r="BY18" s="24">
        <f t="shared" si="71"/>
        <v>0</v>
      </c>
      <c r="BZ18" s="24">
        <f t="shared" si="72"/>
        <v>0</v>
      </c>
      <c r="CA18" s="5">
        <f t="shared" si="73"/>
        <v>0</v>
      </c>
      <c r="CB18" s="5">
        <f t="shared" si="74"/>
        <v>0</v>
      </c>
      <c r="CC18" s="24">
        <f t="shared" si="75"/>
        <v>0</v>
      </c>
      <c r="CD18" s="24">
        <f t="shared" si="76"/>
        <v>0</v>
      </c>
      <c r="CE18" s="4" t="str">
        <f t="shared" si="77"/>
        <v>Rope Seated Face Pull (RPT) [Unica]</v>
      </c>
      <c r="CF18" s="24"/>
      <c r="CG18" s="24">
        <f t="shared" si="78"/>
        <v>4</v>
      </c>
      <c r="CH18" s="23"/>
      <c r="CI18" s="5">
        <f t="shared" si="79"/>
        <v>0</v>
      </c>
      <c r="CJ18" s="5">
        <f t="shared" si="80"/>
        <v>2.5</v>
      </c>
      <c r="CK18" s="23">
        <v>0.0</v>
      </c>
      <c r="CL18" s="56"/>
      <c r="CM18" s="56"/>
      <c r="CN18" s="56"/>
      <c r="CO18" s="57"/>
      <c r="CP18" s="57"/>
      <c r="CQ18" s="57"/>
      <c r="CR18" s="57"/>
      <c r="CS18" s="57"/>
      <c r="CT18" s="57"/>
      <c r="CU18" s="57"/>
      <c r="CV18" s="24">
        <f t="array" ref="CV18">IF(ISNUMBER(CL18),INDEX('hyper-reps-lookup-table'!$B$2:$AE$31,CL18,CK18+1)*CJ18*(36/(37-(CL18+CK18))),0)</f>
        <v>0</v>
      </c>
      <c r="CW18" s="24">
        <f t="array" ref="CW18">IF(ISNUMBER(CM18),INDEX('hyper-reps-lookup-table'!$B$2:$AE$31,CM18,CK18+1)*CJ18*(36/(37-(CM18+CK18))),0)</f>
        <v>0</v>
      </c>
      <c r="CX18" s="24">
        <f t="array" ref="CX18">IF(ISNUMBER(CN18),INDEX('hyper-reps-lookup-table'!$B$2:$AE$31,CN18,CK18+1)*CJ18*(36/(37-(CN18+CK18))),0)</f>
        <v>0</v>
      </c>
      <c r="CY18" s="24">
        <f t="array" ref="CY18">IF(ISNUMBER(CO18),INDEX('hyper-reps-lookup-table'!$B$2:$AE$31,CO18,CK18+1)*CJ18*(36/(37-(CO18+CK18))),0)</f>
        <v>0</v>
      </c>
      <c r="CZ18" s="24">
        <f t="array" ref="CZ18">IF(ISNUMBER(CP18),INDEX('hyper-reps-lookup-table'!$B$2:$AE$31,CP18,CK18+1)*CJ18*(36/(37-(CP18+CK18))),0)</f>
        <v>0</v>
      </c>
      <c r="DA18" s="24">
        <f t="array" ref="DA18">IF(ISNUMBER(CQ18),INDEX('hyper-reps-lookup-table'!$B$2:$AE$31,CQ18,CK18+1)*CJ18*(36/(37-(CQ18+CK18))),0)</f>
        <v>0</v>
      </c>
      <c r="DB18" s="24">
        <f t="array" ref="DB18">IF(ISNUMBER(CR18),INDEX('hyper-reps-lookup-table'!$B$2:$AE$31,CR18,CK18+1)*CJ18*(36/(37-(CR18+CK18))),0)</f>
        <v>0</v>
      </c>
      <c r="DC18" s="24">
        <f t="array" ref="DC18">IF(ISNUMBER(CS18),INDEX('hyper-reps-lookup-table'!$B$2:$AE$31,CS18,CK18+1)*CJ18*(36/(37-(CS18+CK18))),0)</f>
        <v>0</v>
      </c>
      <c r="DD18" s="24">
        <f t="array" ref="DD18">IF(ISNUMBER(CT18),INDEX('hyper-reps-lookup-table'!$B$2:$AE$31,CT18,CK18+1)*CJ18*(36/(37-(CT18+CK18))),0)</f>
        <v>0</v>
      </c>
      <c r="DE18" s="24">
        <f t="array" ref="DE18">IF(ISNUMBER(CU18),INDEX('hyper-reps-lookup-table'!$B$2:$AE$31,CU18,CK18+1)*CJ18*(36/(37-(CU18+CK18))),0)</f>
        <v>0</v>
      </c>
      <c r="DF18" s="55">
        <f t="shared" si="81"/>
        <v>0</v>
      </c>
      <c r="DG18" s="24">
        <f t="shared" si="82"/>
        <v>0</v>
      </c>
      <c r="DH18" s="24">
        <f t="shared" si="83"/>
        <v>0</v>
      </c>
      <c r="DI18" s="24">
        <f t="shared" si="84"/>
        <v>0</v>
      </c>
      <c r="DJ18" s="24">
        <f t="shared" si="85"/>
        <v>0</v>
      </c>
      <c r="DK18" s="24">
        <f t="shared" si="86"/>
        <v>0</v>
      </c>
      <c r="DL18" s="5">
        <f t="shared" si="87"/>
        <v>0</v>
      </c>
      <c r="DM18" s="5">
        <f t="shared" si="88"/>
        <v>0</v>
      </c>
      <c r="DN18" s="24">
        <f t="shared" si="89"/>
        <v>0</v>
      </c>
      <c r="DO18" s="24">
        <f t="shared" si="90"/>
        <v>0</v>
      </c>
      <c r="DP18" s="4" t="str">
        <f t="shared" si="91"/>
        <v>Rope Seated Face Pull (RPT) [Unica]</v>
      </c>
      <c r="DQ18" s="24"/>
      <c r="DR18" s="24">
        <f t="shared" si="92"/>
        <v>4</v>
      </c>
      <c r="DS18" s="23"/>
      <c r="DT18" s="5">
        <f t="shared" si="93"/>
        <v>0</v>
      </c>
      <c r="DU18" s="5">
        <f t="shared" si="94"/>
        <v>2.5</v>
      </c>
      <c r="DV18" s="23">
        <v>0.0</v>
      </c>
      <c r="DW18" s="56"/>
      <c r="DX18" s="56"/>
      <c r="DY18" s="56"/>
      <c r="DZ18" s="57"/>
      <c r="EA18" s="57"/>
      <c r="EB18" s="57"/>
      <c r="EC18" s="57"/>
      <c r="ED18" s="57"/>
      <c r="EE18" s="57"/>
      <c r="EF18" s="57"/>
      <c r="EG18" s="24">
        <f t="array" ref="EG18">IF(ISNUMBER(DW18),INDEX('hyper-reps-lookup-table'!$B$2:$AE$31,DW18,DV18+1)*DU18*(36/(37-(DW18+DV18))),0)</f>
        <v>0</v>
      </c>
      <c r="EH18" s="24">
        <f t="array" ref="EH18">IF(ISNUMBER(DX18),INDEX('hyper-reps-lookup-table'!$B$2:$AE$31,DX18,DV18+1)*DU18*(36/(37-(DX18+DV18))),0)</f>
        <v>0</v>
      </c>
      <c r="EI18" s="24">
        <f t="array" ref="EI18">IF(ISNUMBER(DY18),INDEX('hyper-reps-lookup-table'!$B$2:$AE$31,DY18,DV18+1)*DU18*(36/(37-(DY18+DV18))),0)</f>
        <v>0</v>
      </c>
      <c r="EJ18" s="24">
        <f t="array" ref="EJ18">IF(ISNUMBER(DZ18),INDEX('hyper-reps-lookup-table'!$B$2:$AE$31,DZ18,DV18+1)*DU18*(36/(37-(DZ18+DV18))),0)</f>
        <v>0</v>
      </c>
      <c r="EK18" s="24">
        <f t="array" ref="EK18">IF(ISNUMBER(EA18),INDEX('hyper-reps-lookup-table'!$B$2:$AE$31,EA18,DV18+1)*DU18*(36/(37-(EA18+DV18))),0)</f>
        <v>0</v>
      </c>
      <c r="EL18" s="24">
        <f t="array" ref="EL18">IF(ISNUMBER(EB18),INDEX('hyper-reps-lookup-table'!$B$2:$AE$31,EB18,DV18+1)*DU18*(36/(37-(EB18+DV18))),0)</f>
        <v>0</v>
      </c>
      <c r="EM18" s="24">
        <f t="array" ref="EM18">IF(ISNUMBER(EC18),INDEX('hyper-reps-lookup-table'!$B$2:$AE$31,EC18,DV18+1)*DU18*(36/(37-(EC18+DV18))),0)</f>
        <v>0</v>
      </c>
      <c r="EN18" s="24">
        <f t="array" ref="EN18">IF(ISNUMBER(ED18),INDEX('hyper-reps-lookup-table'!$B$2:$AE$31,ED18,DV18+1)*DU18*(36/(37-(ED18+DV18))),0)</f>
        <v>0</v>
      </c>
      <c r="EO18" s="24">
        <f t="array" ref="EO18">IF(ISNUMBER(EE18),INDEX('hyper-reps-lookup-table'!$B$2:$AE$31,EE18,DV18+1)*DU18*(36/(37-(EE18+DV18))),0)</f>
        <v>0</v>
      </c>
      <c r="EP18" s="24">
        <f t="array" ref="EP18">IF(ISNUMBER(EF18),INDEX('hyper-reps-lookup-table'!$B$2:$AE$31,EF18,DV18+1)*DU18*(36/(37-(EF18+DV18))),0)</f>
        <v>0</v>
      </c>
      <c r="EQ18" s="55">
        <f t="shared" si="95"/>
        <v>0</v>
      </c>
      <c r="ER18" s="24">
        <f t="shared" si="96"/>
        <v>0</v>
      </c>
      <c r="ES18" s="24">
        <f t="shared" si="97"/>
        <v>0</v>
      </c>
      <c r="ET18" s="24">
        <f t="shared" si="98"/>
        <v>0</v>
      </c>
      <c r="EU18" s="24">
        <f t="shared" si="99"/>
        <v>0</v>
      </c>
      <c r="EV18" s="24">
        <f t="shared" si="100"/>
        <v>0</v>
      </c>
      <c r="EW18" s="5">
        <f t="shared" si="101"/>
        <v>0</v>
      </c>
      <c r="EX18" s="5">
        <f t="shared" si="102"/>
        <v>0</v>
      </c>
      <c r="EY18" s="24">
        <f t="shared" si="103"/>
        <v>0</v>
      </c>
      <c r="EZ18" s="24">
        <f t="shared" si="104"/>
        <v>0</v>
      </c>
      <c r="FA18" s="14"/>
    </row>
    <row r="19">
      <c r="A19" s="13"/>
      <c r="B19" s="27" t="s">
        <v>64</v>
      </c>
      <c r="C19" s="23">
        <v>100.0</v>
      </c>
      <c r="D19" s="29">
        <v>0.75</v>
      </c>
      <c r="E19" s="29">
        <v>0.8</v>
      </c>
      <c r="F19" s="23">
        <v>4.0</v>
      </c>
      <c r="G19" s="33">
        <v>90.0</v>
      </c>
      <c r="H19" s="33">
        <v>2.5</v>
      </c>
      <c r="I19" s="4" t="str">
        <f t="shared" si="53"/>
        <v>V-Bar Tricep Pushdown (RPT) [Unica]</v>
      </c>
      <c r="J19" s="27">
        <f t="shared" si="105"/>
        <v>2</v>
      </c>
      <c r="K19" s="24">
        <f t="shared" si="55"/>
        <v>2</v>
      </c>
      <c r="L19" s="5"/>
      <c r="M19" s="5">
        <f t="shared" si="56"/>
        <v>75</v>
      </c>
      <c r="N19" s="5">
        <f t="shared" si="57"/>
        <v>75</v>
      </c>
      <c r="O19" s="23">
        <v>0.0</v>
      </c>
      <c r="P19" s="23"/>
      <c r="Q19" s="23"/>
      <c r="R19" s="24"/>
      <c r="S19" s="24"/>
      <c r="T19" s="24"/>
      <c r="U19" s="24"/>
      <c r="V19" s="24"/>
      <c r="W19" s="24"/>
      <c r="X19" s="24"/>
      <c r="Y19" s="24"/>
      <c r="Z19" s="24">
        <f t="array" ref="Z19">IF(ISNUMBER(P19),INDEX('hyper-reps-lookup-table'!$B$2:$AE$31,P19,O19+1)*N19*(36/(37-(P19+O19))),0)</f>
        <v>0</v>
      </c>
      <c r="AA19" s="24">
        <f t="array" ref="AA19">IF(ISNUMBER(Q19),INDEX('hyper-reps-lookup-table'!$B$2:$AE$31,Q19,O19+1)*N19*(36/(37-(Q19+O19))),0)</f>
        <v>0</v>
      </c>
      <c r="AB19" s="24">
        <f t="array" ref="AB19">IF(ISNUMBER(R19),INDEX('hyper-reps-lookup-table'!$B$2:$AE$31,R19,O19+1)*N19*(36/(37-(R19+O19))),0)</f>
        <v>0</v>
      </c>
      <c r="AC19" s="24">
        <f t="array" ref="AC19">IF(ISNUMBER(S19),INDEX('hyper-reps-lookup-table'!$B$2:$AE$31,S19,O19+1)*N19*(36/(37-(S19+O19))),0)</f>
        <v>0</v>
      </c>
      <c r="AD19" s="24">
        <f t="array" ref="AD19">IF(ISNUMBER(T19),INDEX('hyper-reps-lookup-table'!$B$2:$AE$31,T19,O19+1)*N19*(36/(37-(T19+O19))),0)</f>
        <v>0</v>
      </c>
      <c r="AE19" s="24">
        <f t="array" ref="AE19">IF(ISNUMBER(U19),INDEX('hyper-reps-lookup-table'!$B$2:$AE$31,U19,O19+1)*N19*(36/(37-(U19+O19))),0)</f>
        <v>0</v>
      </c>
      <c r="AF19" s="24">
        <f t="array" ref="AF19">IF(ISNUMBER(V19),INDEX('hyper-reps-lookup-table'!$B$2:$AE$31,V19,O19+1)*N19*(36/(37-(V19+O19))),0)</f>
        <v>0</v>
      </c>
      <c r="AG19" s="24">
        <f t="array" ref="AG19">IF(ISNUMBER(W19),INDEX('hyper-reps-lookup-table'!$B$2:$AE$31,W19,O19+1)*N19*(36/(37-(W19+O19))),0)</f>
        <v>0</v>
      </c>
      <c r="AH19" s="24">
        <f t="array" ref="AH19">IF(ISNUMBER(X19),INDEX('hyper-reps-lookup-table'!$B$2:$AE$31,X19,O19+1)*N19*(36/(37-(X19+O19))),0)</f>
        <v>0</v>
      </c>
      <c r="AI19" s="24">
        <f t="array" ref="AI19">IF(ISNUMBER(Y19),INDEX('hyper-reps-lookup-table'!$B$2:$AE$31,Y19,O19+1)*N19*(36/(37-(Y19+O19))),0)</f>
        <v>0</v>
      </c>
      <c r="AJ19" s="55">
        <f t="shared" si="58"/>
        <v>0</v>
      </c>
      <c r="AK19" s="24">
        <f t="shared" si="59"/>
        <v>0</v>
      </c>
      <c r="AL19" s="24">
        <f t="shared" si="60"/>
        <v>0</v>
      </c>
      <c r="AM19" s="24">
        <f t="shared" si="61"/>
        <v>0</v>
      </c>
      <c r="AN19" s="24">
        <v>0.0</v>
      </c>
      <c r="AO19" s="24">
        <v>0.0</v>
      </c>
      <c r="AP19" s="5">
        <v>0.0</v>
      </c>
      <c r="AQ19" s="5">
        <v>0.0</v>
      </c>
      <c r="AR19" s="24">
        <v>0.0</v>
      </c>
      <c r="AS19" s="24">
        <v>0.0</v>
      </c>
      <c r="AT19" s="4" t="str">
        <f t="shared" si="62"/>
        <v>V-Bar Tricep Pushdown (RPT) [Unica]</v>
      </c>
      <c r="AU19" s="24">
        <f t="shared" si="63"/>
        <v>4</v>
      </c>
      <c r="AV19" s="24">
        <f t="shared" si="64"/>
        <v>4</v>
      </c>
      <c r="AW19" s="23"/>
      <c r="AX19" s="5">
        <f t="shared" si="65"/>
        <v>0</v>
      </c>
      <c r="AY19" s="5">
        <f t="shared" si="66"/>
        <v>2.5</v>
      </c>
      <c r="AZ19" s="23">
        <v>0.0</v>
      </c>
      <c r="BA19" s="56"/>
      <c r="BB19" s="56"/>
      <c r="BC19" s="56"/>
      <c r="BD19" s="57"/>
      <c r="BE19" s="57"/>
      <c r="BF19" s="57"/>
      <c r="BG19" s="57"/>
      <c r="BH19" s="57"/>
      <c r="BI19" s="57"/>
      <c r="BJ19" s="57"/>
      <c r="BK19" s="24">
        <f t="array" ref="BK19">IF(ISNUMBER(BA19),INDEX('hyper-reps-lookup-table'!$B$2:$AE$31,BA19,AZ19+1)*AY19*(36/(37-(BA19+AZ19))),0)</f>
        <v>0</v>
      </c>
      <c r="BL19" s="24">
        <f t="array" ref="BL19">IF(ISNUMBER(BB19),INDEX('hyper-reps-lookup-table'!$B$2:$AE$31,BB19,AZ19+1)*AY19*(36/(37-(BB19+AZ19))),0)</f>
        <v>0</v>
      </c>
      <c r="BM19" s="24">
        <f t="array" ref="BM19">IF(ISNUMBER(BC19),INDEX('hyper-reps-lookup-table'!$B$2:$AE$31,BC19,AZ19+1)*AY19*(36/(37-(BC19+AZ19))),0)</f>
        <v>0</v>
      </c>
      <c r="BN19" s="24">
        <f t="array" ref="BN19">IF(ISNUMBER(BD19),INDEX('hyper-reps-lookup-table'!$B$2:$AE$31,BD19,AZ19+1)*AY19*(36/(37-(BD19+AZ19))),0)</f>
        <v>0</v>
      </c>
      <c r="BO19" s="24">
        <f t="array" ref="BO19">IF(ISNUMBER(BE19),INDEX('hyper-reps-lookup-table'!$B$2:$AE$31,BE19,AZ19+1)*AY19*(36/(37-(BE19+AZ19))),0)</f>
        <v>0</v>
      </c>
      <c r="BP19" s="24">
        <f t="array" ref="BP19">IF(ISNUMBER(BF19),INDEX('hyper-reps-lookup-table'!$B$2:$AE$31,BF19,AZ19+1)*AY19*(36/(37-(BF19+AZ19))),0)</f>
        <v>0</v>
      </c>
      <c r="BQ19" s="24">
        <f t="array" ref="BQ19">IF(ISNUMBER(BG19),INDEX('hyper-reps-lookup-table'!$B$2:$AE$31,BG19,AZ19+1)*AY19*(36/(37-(BG19+AZ19))),0)</f>
        <v>0</v>
      </c>
      <c r="BR19" s="24">
        <f t="array" ref="BR19">IF(ISNUMBER(BH19),INDEX('hyper-reps-lookup-table'!$B$2:$AE$31,BH19,AZ19+1)*AY19*(36/(37-(BH19+AZ19))),0)</f>
        <v>0</v>
      </c>
      <c r="BS19" s="24">
        <f t="array" ref="BS19">IF(ISNUMBER(BI19),INDEX('hyper-reps-lookup-table'!$B$2:$AE$31,BI19,AZ19+1)*AY19*(36/(37-(BI19+AZ19))),0)</f>
        <v>0</v>
      </c>
      <c r="BT19" s="24">
        <f t="array" ref="BT19">IF(ISNUMBER(BJ19),INDEX('hyper-reps-lookup-table'!$B$2:$AE$31,BJ19,AZ19+1)*AY19*(36/(37-(BJ19+AZ19))),0)</f>
        <v>0</v>
      </c>
      <c r="BU19" s="55">
        <f t="shared" si="67"/>
        <v>0</v>
      </c>
      <c r="BV19" s="24">
        <f t="shared" si="68"/>
        <v>0</v>
      </c>
      <c r="BW19" s="24">
        <f t="shared" si="69"/>
        <v>0</v>
      </c>
      <c r="BX19" s="24">
        <f t="shared" si="70"/>
        <v>0</v>
      </c>
      <c r="BY19" s="24">
        <f t="shared" si="71"/>
        <v>0</v>
      </c>
      <c r="BZ19" s="24">
        <f t="shared" si="72"/>
        <v>0</v>
      </c>
      <c r="CA19" s="5">
        <f t="shared" si="73"/>
        <v>0</v>
      </c>
      <c r="CB19" s="5">
        <f t="shared" si="74"/>
        <v>0</v>
      </c>
      <c r="CC19" s="24">
        <f t="shared" si="75"/>
        <v>0</v>
      </c>
      <c r="CD19" s="24">
        <f t="shared" si="76"/>
        <v>0</v>
      </c>
      <c r="CE19" s="4" t="str">
        <f t="shared" si="77"/>
        <v>V-Bar Tricep Pushdown (RPT) [Unica]</v>
      </c>
      <c r="CF19" s="24"/>
      <c r="CG19" s="24">
        <f t="shared" si="78"/>
        <v>4</v>
      </c>
      <c r="CH19" s="23"/>
      <c r="CI19" s="5">
        <f t="shared" si="79"/>
        <v>0</v>
      </c>
      <c r="CJ19" s="5">
        <f t="shared" si="80"/>
        <v>2.5</v>
      </c>
      <c r="CK19" s="23">
        <v>0.0</v>
      </c>
      <c r="CL19" s="56"/>
      <c r="CM19" s="56"/>
      <c r="CN19" s="56"/>
      <c r="CO19" s="57"/>
      <c r="CP19" s="57"/>
      <c r="CQ19" s="57"/>
      <c r="CR19" s="57"/>
      <c r="CS19" s="57"/>
      <c r="CT19" s="57"/>
      <c r="CU19" s="57"/>
      <c r="CV19" s="24">
        <f t="array" ref="CV19">IF(ISNUMBER(CL19),INDEX('hyper-reps-lookup-table'!$B$2:$AE$31,CL19,CK19+1)*CJ19*(36/(37-(CL19+CK19))),0)</f>
        <v>0</v>
      </c>
      <c r="CW19" s="24">
        <f t="array" ref="CW19">IF(ISNUMBER(CM19),INDEX('hyper-reps-lookup-table'!$B$2:$AE$31,CM19,CK19+1)*CJ19*(36/(37-(CM19+CK19))),0)</f>
        <v>0</v>
      </c>
      <c r="CX19" s="24">
        <f t="array" ref="CX19">IF(ISNUMBER(CN19),INDEX('hyper-reps-lookup-table'!$B$2:$AE$31,CN19,CK19+1)*CJ19*(36/(37-(CN19+CK19))),0)</f>
        <v>0</v>
      </c>
      <c r="CY19" s="24">
        <f t="array" ref="CY19">IF(ISNUMBER(CO19),INDEX('hyper-reps-lookup-table'!$B$2:$AE$31,CO19,CK19+1)*CJ19*(36/(37-(CO19+CK19))),0)</f>
        <v>0</v>
      </c>
      <c r="CZ19" s="24">
        <f t="array" ref="CZ19">IF(ISNUMBER(CP19),INDEX('hyper-reps-lookup-table'!$B$2:$AE$31,CP19,CK19+1)*CJ19*(36/(37-(CP19+CK19))),0)</f>
        <v>0</v>
      </c>
      <c r="DA19" s="24">
        <f t="array" ref="DA19">IF(ISNUMBER(CQ19),INDEX('hyper-reps-lookup-table'!$B$2:$AE$31,CQ19,CK19+1)*CJ19*(36/(37-(CQ19+CK19))),0)</f>
        <v>0</v>
      </c>
      <c r="DB19" s="24">
        <f t="array" ref="DB19">IF(ISNUMBER(CR19),INDEX('hyper-reps-lookup-table'!$B$2:$AE$31,CR19,CK19+1)*CJ19*(36/(37-(CR19+CK19))),0)</f>
        <v>0</v>
      </c>
      <c r="DC19" s="24">
        <f t="array" ref="DC19">IF(ISNUMBER(CS19),INDEX('hyper-reps-lookup-table'!$B$2:$AE$31,CS19,CK19+1)*CJ19*(36/(37-(CS19+CK19))),0)</f>
        <v>0</v>
      </c>
      <c r="DD19" s="24">
        <f t="array" ref="DD19">IF(ISNUMBER(CT19),INDEX('hyper-reps-lookup-table'!$B$2:$AE$31,CT19,CK19+1)*CJ19*(36/(37-(CT19+CK19))),0)</f>
        <v>0</v>
      </c>
      <c r="DE19" s="24">
        <f t="array" ref="DE19">IF(ISNUMBER(CU19),INDEX('hyper-reps-lookup-table'!$B$2:$AE$31,CU19,CK19+1)*CJ19*(36/(37-(CU19+CK19))),0)</f>
        <v>0</v>
      </c>
      <c r="DF19" s="55">
        <f t="shared" si="81"/>
        <v>0</v>
      </c>
      <c r="DG19" s="24">
        <f t="shared" si="82"/>
        <v>0</v>
      </c>
      <c r="DH19" s="24">
        <f t="shared" si="83"/>
        <v>0</v>
      </c>
      <c r="DI19" s="24">
        <f t="shared" si="84"/>
        <v>0</v>
      </c>
      <c r="DJ19" s="24">
        <f t="shared" si="85"/>
        <v>0</v>
      </c>
      <c r="DK19" s="24">
        <f t="shared" si="86"/>
        <v>0</v>
      </c>
      <c r="DL19" s="5">
        <f t="shared" si="87"/>
        <v>0</v>
      </c>
      <c r="DM19" s="5">
        <f t="shared" si="88"/>
        <v>0</v>
      </c>
      <c r="DN19" s="24">
        <f t="shared" si="89"/>
        <v>0</v>
      </c>
      <c r="DO19" s="24">
        <f t="shared" si="90"/>
        <v>0</v>
      </c>
      <c r="DP19" s="4" t="str">
        <f t="shared" si="91"/>
        <v>V-Bar Tricep Pushdown (RPT) [Unica]</v>
      </c>
      <c r="DQ19" s="24"/>
      <c r="DR19" s="24">
        <f t="shared" si="92"/>
        <v>4</v>
      </c>
      <c r="DS19" s="23"/>
      <c r="DT19" s="5">
        <f t="shared" si="93"/>
        <v>0</v>
      </c>
      <c r="DU19" s="5">
        <f t="shared" si="94"/>
        <v>2.5</v>
      </c>
      <c r="DV19" s="23">
        <v>0.0</v>
      </c>
      <c r="DW19" s="56"/>
      <c r="DX19" s="56"/>
      <c r="DY19" s="56"/>
      <c r="DZ19" s="57"/>
      <c r="EA19" s="57"/>
      <c r="EB19" s="57"/>
      <c r="EC19" s="57"/>
      <c r="ED19" s="57"/>
      <c r="EE19" s="57"/>
      <c r="EF19" s="57"/>
      <c r="EG19" s="24">
        <f t="array" ref="EG19">IF(ISNUMBER(DW19),INDEX('hyper-reps-lookup-table'!$B$2:$AE$31,DW19,DV19+1)*DU19*(36/(37-(DW19+DV19))),0)</f>
        <v>0</v>
      </c>
      <c r="EH19" s="24">
        <f t="array" ref="EH19">IF(ISNUMBER(DX19),INDEX('hyper-reps-lookup-table'!$B$2:$AE$31,DX19,DV19+1)*DU19*(36/(37-(DX19+DV19))),0)</f>
        <v>0</v>
      </c>
      <c r="EI19" s="24">
        <f t="array" ref="EI19">IF(ISNUMBER(DY19),INDEX('hyper-reps-lookup-table'!$B$2:$AE$31,DY19,DV19+1)*DU19*(36/(37-(DY19+DV19))),0)</f>
        <v>0</v>
      </c>
      <c r="EJ19" s="24">
        <f t="array" ref="EJ19">IF(ISNUMBER(DZ19),INDEX('hyper-reps-lookup-table'!$B$2:$AE$31,DZ19,DV19+1)*DU19*(36/(37-(DZ19+DV19))),0)</f>
        <v>0</v>
      </c>
      <c r="EK19" s="24">
        <f t="array" ref="EK19">IF(ISNUMBER(EA19),INDEX('hyper-reps-lookup-table'!$B$2:$AE$31,EA19,DV19+1)*DU19*(36/(37-(EA19+DV19))),0)</f>
        <v>0</v>
      </c>
      <c r="EL19" s="24">
        <f t="array" ref="EL19">IF(ISNUMBER(EB19),INDEX('hyper-reps-lookup-table'!$B$2:$AE$31,EB19,DV19+1)*DU19*(36/(37-(EB19+DV19))),0)</f>
        <v>0</v>
      </c>
      <c r="EM19" s="24">
        <f t="array" ref="EM19">IF(ISNUMBER(EC19),INDEX('hyper-reps-lookup-table'!$B$2:$AE$31,EC19,DV19+1)*DU19*(36/(37-(EC19+DV19))),0)</f>
        <v>0</v>
      </c>
      <c r="EN19" s="24">
        <f t="array" ref="EN19">IF(ISNUMBER(ED19),INDEX('hyper-reps-lookup-table'!$B$2:$AE$31,ED19,DV19+1)*DU19*(36/(37-(ED19+DV19))),0)</f>
        <v>0</v>
      </c>
      <c r="EO19" s="24">
        <f t="array" ref="EO19">IF(ISNUMBER(EE19),INDEX('hyper-reps-lookup-table'!$B$2:$AE$31,EE19,DV19+1)*DU19*(36/(37-(EE19+DV19))),0)</f>
        <v>0</v>
      </c>
      <c r="EP19" s="24">
        <f t="array" ref="EP19">IF(ISNUMBER(EF19),INDEX('hyper-reps-lookup-table'!$B$2:$AE$31,EF19,DV19+1)*DU19*(36/(37-(EF19+DV19))),0)</f>
        <v>0</v>
      </c>
      <c r="EQ19" s="55">
        <f t="shared" si="95"/>
        <v>0</v>
      </c>
      <c r="ER19" s="24">
        <f t="shared" si="96"/>
        <v>0</v>
      </c>
      <c r="ES19" s="24">
        <f t="shared" si="97"/>
        <v>0</v>
      </c>
      <c r="ET19" s="24">
        <f t="shared" si="98"/>
        <v>0</v>
      </c>
      <c r="EU19" s="24">
        <f t="shared" si="99"/>
        <v>0</v>
      </c>
      <c r="EV19" s="24">
        <f t="shared" si="100"/>
        <v>0</v>
      </c>
      <c r="EW19" s="5">
        <f t="shared" si="101"/>
        <v>0</v>
      </c>
      <c r="EX19" s="5">
        <f t="shared" si="102"/>
        <v>0</v>
      </c>
      <c r="EY19" s="24">
        <f t="shared" si="103"/>
        <v>0</v>
      </c>
      <c r="EZ19" s="24">
        <f t="shared" si="104"/>
        <v>0</v>
      </c>
      <c r="FA19" s="14"/>
    </row>
    <row r="20">
      <c r="A20" s="13"/>
      <c r="B20" s="27" t="s">
        <v>65</v>
      </c>
      <c r="C20" s="23">
        <v>100.0</v>
      </c>
      <c r="D20" s="29">
        <v>0.75</v>
      </c>
      <c r="E20" s="29">
        <v>0.8</v>
      </c>
      <c r="F20" s="23">
        <v>4.0</v>
      </c>
      <c r="G20" s="33">
        <v>180.0</v>
      </c>
      <c r="H20" s="33">
        <v>0.5</v>
      </c>
      <c r="I20" s="4" t="str">
        <f t="shared" si="53"/>
        <v>Seated Bicep Curl (RPT) [Trainer+]</v>
      </c>
      <c r="J20" s="27">
        <f t="shared" si="105"/>
        <v>2</v>
      </c>
      <c r="K20" s="24">
        <f t="shared" si="55"/>
        <v>2</v>
      </c>
      <c r="L20" s="5"/>
      <c r="M20" s="5">
        <f t="shared" si="56"/>
        <v>75</v>
      </c>
      <c r="N20" s="5">
        <f t="shared" si="57"/>
        <v>75</v>
      </c>
      <c r="O20" s="23">
        <v>0.0</v>
      </c>
      <c r="P20" s="23"/>
      <c r="Q20" s="23"/>
      <c r="R20" s="24"/>
      <c r="S20" s="24"/>
      <c r="T20" s="24"/>
      <c r="U20" s="24"/>
      <c r="V20" s="24"/>
      <c r="W20" s="24"/>
      <c r="X20" s="24"/>
      <c r="Y20" s="24"/>
      <c r="Z20" s="24">
        <f t="array" ref="Z20">IF(ISNUMBER(P20),INDEX('hyper-reps-lookup-table'!$B$2:$AE$31,P20,O20+1)*N20*(36/(37-(P20+O20))),0)</f>
        <v>0</v>
      </c>
      <c r="AA20" s="24">
        <f t="array" ref="AA20">IF(ISNUMBER(Q20),INDEX('hyper-reps-lookup-table'!$B$2:$AE$31,Q20,O20+1)*N20*(36/(37-(Q20+O20))),0)</f>
        <v>0</v>
      </c>
      <c r="AB20" s="24">
        <f t="array" ref="AB20">IF(ISNUMBER(R20),INDEX('hyper-reps-lookup-table'!$B$2:$AE$31,R20,O20+1)*N20*(36/(37-(R20+O20))),0)</f>
        <v>0</v>
      </c>
      <c r="AC20" s="24">
        <f t="array" ref="AC20">IF(ISNUMBER(S20),INDEX('hyper-reps-lookup-table'!$B$2:$AE$31,S20,O20+1)*N20*(36/(37-(S20+O20))),0)</f>
        <v>0</v>
      </c>
      <c r="AD20" s="24">
        <f t="array" ref="AD20">IF(ISNUMBER(T20),INDEX('hyper-reps-lookup-table'!$B$2:$AE$31,T20,O20+1)*N20*(36/(37-(T20+O20))),0)</f>
        <v>0</v>
      </c>
      <c r="AE20" s="24">
        <f t="array" ref="AE20">IF(ISNUMBER(U20),INDEX('hyper-reps-lookup-table'!$B$2:$AE$31,U20,O20+1)*N20*(36/(37-(U20+O20))),0)</f>
        <v>0</v>
      </c>
      <c r="AF20" s="24">
        <f t="array" ref="AF20">IF(ISNUMBER(V20),INDEX('hyper-reps-lookup-table'!$B$2:$AE$31,V20,O20+1)*N20*(36/(37-(V20+O20))),0)</f>
        <v>0</v>
      </c>
      <c r="AG20" s="24">
        <f t="array" ref="AG20">IF(ISNUMBER(W20),INDEX('hyper-reps-lookup-table'!$B$2:$AE$31,W20,O20+1)*N20*(36/(37-(W20+O20))),0)</f>
        <v>0</v>
      </c>
      <c r="AH20" s="24">
        <f t="array" ref="AH20">IF(ISNUMBER(X20),INDEX('hyper-reps-lookup-table'!$B$2:$AE$31,X20,O20+1)*N20*(36/(37-(X20+O20))),0)</f>
        <v>0</v>
      </c>
      <c r="AI20" s="24">
        <f t="array" ref="AI20">IF(ISNUMBER(Y20),INDEX('hyper-reps-lookup-table'!$B$2:$AE$31,Y20,O20+1)*N20*(36/(37-(Y20+O20))),0)</f>
        <v>0</v>
      </c>
      <c r="AJ20" s="55">
        <f t="shared" si="58"/>
        <v>0</v>
      </c>
      <c r="AK20" s="24">
        <f t="shared" si="59"/>
        <v>0</v>
      </c>
      <c r="AL20" s="24">
        <f t="shared" si="60"/>
        <v>0</v>
      </c>
      <c r="AM20" s="24">
        <f t="shared" si="61"/>
        <v>0</v>
      </c>
      <c r="AN20" s="24">
        <v>0.0</v>
      </c>
      <c r="AO20" s="24">
        <v>0.0</v>
      </c>
      <c r="AP20" s="5">
        <v>0.0</v>
      </c>
      <c r="AQ20" s="5">
        <v>0.0</v>
      </c>
      <c r="AR20" s="24">
        <v>0.0</v>
      </c>
      <c r="AS20" s="24">
        <v>0.0</v>
      </c>
      <c r="AT20" s="4" t="str">
        <f t="shared" si="62"/>
        <v>Seated Bicep Curl (RPT) [Trainer+]</v>
      </c>
      <c r="AU20" s="24">
        <f t="shared" si="63"/>
        <v>4</v>
      </c>
      <c r="AV20" s="24">
        <f t="shared" si="64"/>
        <v>4</v>
      </c>
      <c r="AW20" s="23"/>
      <c r="AX20" s="5">
        <f t="shared" si="65"/>
        <v>0</v>
      </c>
      <c r="AY20" s="5">
        <f t="shared" si="66"/>
        <v>0.5</v>
      </c>
      <c r="AZ20" s="23">
        <v>0.0</v>
      </c>
      <c r="BA20" s="56"/>
      <c r="BB20" s="56"/>
      <c r="BC20" s="56"/>
      <c r="BD20" s="57"/>
      <c r="BE20" s="57"/>
      <c r="BF20" s="57"/>
      <c r="BG20" s="57"/>
      <c r="BH20" s="57"/>
      <c r="BI20" s="57"/>
      <c r="BJ20" s="57"/>
      <c r="BK20" s="24">
        <f t="array" ref="BK20">IF(ISNUMBER(BA20),INDEX('hyper-reps-lookup-table'!$B$2:$AE$31,BA20,AZ20+1)*AY20*(36/(37-(BA20+AZ20))),0)</f>
        <v>0</v>
      </c>
      <c r="BL20" s="24">
        <f t="array" ref="BL20">IF(ISNUMBER(BB20),INDEX('hyper-reps-lookup-table'!$B$2:$AE$31,BB20,AZ20+1)*AY20*(36/(37-(BB20+AZ20))),0)</f>
        <v>0</v>
      </c>
      <c r="BM20" s="24">
        <f t="array" ref="BM20">IF(ISNUMBER(BC20),INDEX('hyper-reps-lookup-table'!$B$2:$AE$31,BC20,AZ20+1)*AY20*(36/(37-(BC20+AZ20))),0)</f>
        <v>0</v>
      </c>
      <c r="BN20" s="24">
        <f t="array" ref="BN20">IF(ISNUMBER(BD20),INDEX('hyper-reps-lookup-table'!$B$2:$AE$31,BD20,AZ20+1)*AY20*(36/(37-(BD20+AZ20))),0)</f>
        <v>0</v>
      </c>
      <c r="BO20" s="24">
        <f t="array" ref="BO20">IF(ISNUMBER(BE20),INDEX('hyper-reps-lookup-table'!$B$2:$AE$31,BE20,AZ20+1)*AY20*(36/(37-(BE20+AZ20))),0)</f>
        <v>0</v>
      </c>
      <c r="BP20" s="24">
        <f t="array" ref="BP20">IF(ISNUMBER(BF20),INDEX('hyper-reps-lookup-table'!$B$2:$AE$31,BF20,AZ20+1)*AY20*(36/(37-(BF20+AZ20))),0)</f>
        <v>0</v>
      </c>
      <c r="BQ20" s="24">
        <f t="array" ref="BQ20">IF(ISNUMBER(BG20),INDEX('hyper-reps-lookup-table'!$B$2:$AE$31,BG20,AZ20+1)*AY20*(36/(37-(BG20+AZ20))),0)</f>
        <v>0</v>
      </c>
      <c r="BR20" s="24">
        <f t="array" ref="BR20">IF(ISNUMBER(BH20),INDEX('hyper-reps-lookup-table'!$B$2:$AE$31,BH20,AZ20+1)*AY20*(36/(37-(BH20+AZ20))),0)</f>
        <v>0</v>
      </c>
      <c r="BS20" s="24">
        <f t="array" ref="BS20">IF(ISNUMBER(BI20),INDEX('hyper-reps-lookup-table'!$B$2:$AE$31,BI20,AZ20+1)*AY20*(36/(37-(BI20+AZ20))),0)</f>
        <v>0</v>
      </c>
      <c r="BT20" s="24">
        <f t="array" ref="BT20">IF(ISNUMBER(BJ20),INDEX('hyper-reps-lookup-table'!$B$2:$AE$31,BJ20,AZ20+1)*AY20*(36/(37-(BJ20+AZ20))),0)</f>
        <v>0</v>
      </c>
      <c r="BU20" s="55">
        <f t="shared" si="67"/>
        <v>0</v>
      </c>
      <c r="BV20" s="24">
        <f t="shared" si="68"/>
        <v>0</v>
      </c>
      <c r="BW20" s="24">
        <f t="shared" si="69"/>
        <v>0</v>
      </c>
      <c r="BX20" s="24">
        <f t="shared" si="70"/>
        <v>0</v>
      </c>
      <c r="BY20" s="24">
        <f t="shared" si="71"/>
        <v>0</v>
      </c>
      <c r="BZ20" s="24">
        <f t="shared" si="72"/>
        <v>0</v>
      </c>
      <c r="CA20" s="5">
        <f t="shared" si="73"/>
        <v>0</v>
      </c>
      <c r="CB20" s="5">
        <f t="shared" si="74"/>
        <v>0</v>
      </c>
      <c r="CC20" s="24">
        <f t="shared" si="75"/>
        <v>0</v>
      </c>
      <c r="CD20" s="24">
        <f t="shared" si="76"/>
        <v>0</v>
      </c>
      <c r="CE20" s="4" t="str">
        <f t="shared" si="77"/>
        <v>Seated Bicep Curl (RPT) [Trainer+]</v>
      </c>
      <c r="CF20" s="24"/>
      <c r="CG20" s="24">
        <f t="shared" si="78"/>
        <v>4</v>
      </c>
      <c r="CH20" s="23"/>
      <c r="CI20" s="5">
        <f t="shared" si="79"/>
        <v>0</v>
      </c>
      <c r="CJ20" s="5">
        <f t="shared" si="80"/>
        <v>0.5</v>
      </c>
      <c r="CK20" s="23">
        <v>0.0</v>
      </c>
      <c r="CL20" s="56"/>
      <c r="CM20" s="56"/>
      <c r="CN20" s="56"/>
      <c r="CO20" s="57"/>
      <c r="CP20" s="57"/>
      <c r="CQ20" s="57"/>
      <c r="CR20" s="57"/>
      <c r="CS20" s="57"/>
      <c r="CT20" s="57"/>
      <c r="CU20" s="57"/>
      <c r="CV20" s="24">
        <f t="array" ref="CV20">IF(ISNUMBER(CL20),INDEX('hyper-reps-lookup-table'!$B$2:$AE$31,CL20,CK20+1)*CJ20*(36/(37-(CL20+CK20))),0)</f>
        <v>0</v>
      </c>
      <c r="CW20" s="24">
        <f t="array" ref="CW20">IF(ISNUMBER(CM20),INDEX('hyper-reps-lookup-table'!$B$2:$AE$31,CM20,CK20+1)*CJ20*(36/(37-(CM20+CK20))),0)</f>
        <v>0</v>
      </c>
      <c r="CX20" s="24">
        <f t="array" ref="CX20">IF(ISNUMBER(CN20),INDEX('hyper-reps-lookup-table'!$B$2:$AE$31,CN20,CK20+1)*CJ20*(36/(37-(CN20+CK20))),0)</f>
        <v>0</v>
      </c>
      <c r="CY20" s="24">
        <f t="array" ref="CY20">IF(ISNUMBER(CO20),INDEX('hyper-reps-lookup-table'!$B$2:$AE$31,CO20,CK20+1)*CJ20*(36/(37-(CO20+CK20))),0)</f>
        <v>0</v>
      </c>
      <c r="CZ20" s="24">
        <f t="array" ref="CZ20">IF(ISNUMBER(CP20),INDEX('hyper-reps-lookup-table'!$B$2:$AE$31,CP20,CK20+1)*CJ20*(36/(37-(CP20+CK20))),0)</f>
        <v>0</v>
      </c>
      <c r="DA20" s="24">
        <f t="array" ref="DA20">IF(ISNUMBER(CQ20),INDEX('hyper-reps-lookup-table'!$B$2:$AE$31,CQ20,CK20+1)*CJ20*(36/(37-(CQ20+CK20))),0)</f>
        <v>0</v>
      </c>
      <c r="DB20" s="24">
        <f t="array" ref="DB20">IF(ISNUMBER(CR20),INDEX('hyper-reps-lookup-table'!$B$2:$AE$31,CR20,CK20+1)*CJ20*(36/(37-(CR20+CK20))),0)</f>
        <v>0</v>
      </c>
      <c r="DC20" s="24">
        <f t="array" ref="DC20">IF(ISNUMBER(CS20),INDEX('hyper-reps-lookup-table'!$B$2:$AE$31,CS20,CK20+1)*CJ20*(36/(37-(CS20+CK20))),0)</f>
        <v>0</v>
      </c>
      <c r="DD20" s="24">
        <f t="array" ref="DD20">IF(ISNUMBER(CT20),INDEX('hyper-reps-lookup-table'!$B$2:$AE$31,CT20,CK20+1)*CJ20*(36/(37-(CT20+CK20))),0)</f>
        <v>0</v>
      </c>
      <c r="DE20" s="24">
        <f t="array" ref="DE20">IF(ISNUMBER(CU20),INDEX('hyper-reps-lookup-table'!$B$2:$AE$31,CU20,CK20+1)*CJ20*(36/(37-(CU20+CK20))),0)</f>
        <v>0</v>
      </c>
      <c r="DF20" s="55">
        <f t="shared" si="81"/>
        <v>0</v>
      </c>
      <c r="DG20" s="24">
        <f t="shared" si="82"/>
        <v>0</v>
      </c>
      <c r="DH20" s="24">
        <f t="shared" si="83"/>
        <v>0</v>
      </c>
      <c r="DI20" s="24">
        <f t="shared" si="84"/>
        <v>0</v>
      </c>
      <c r="DJ20" s="24">
        <f t="shared" si="85"/>
        <v>0</v>
      </c>
      <c r="DK20" s="24">
        <f t="shared" si="86"/>
        <v>0</v>
      </c>
      <c r="DL20" s="5">
        <f t="shared" si="87"/>
        <v>0</v>
      </c>
      <c r="DM20" s="5">
        <f t="shared" si="88"/>
        <v>0</v>
      </c>
      <c r="DN20" s="24">
        <f t="shared" si="89"/>
        <v>0</v>
      </c>
      <c r="DO20" s="24">
        <f t="shared" si="90"/>
        <v>0</v>
      </c>
      <c r="DP20" s="4" t="str">
        <f t="shared" si="91"/>
        <v>Seated Bicep Curl (RPT) [Trainer+]</v>
      </c>
      <c r="DQ20" s="24"/>
      <c r="DR20" s="24">
        <f t="shared" si="92"/>
        <v>4</v>
      </c>
      <c r="DS20" s="23"/>
      <c r="DT20" s="5">
        <f t="shared" si="93"/>
        <v>0</v>
      </c>
      <c r="DU20" s="5">
        <f t="shared" si="94"/>
        <v>0.5</v>
      </c>
      <c r="DV20" s="23">
        <v>0.0</v>
      </c>
      <c r="DW20" s="56"/>
      <c r="DX20" s="56"/>
      <c r="DY20" s="56"/>
      <c r="DZ20" s="57"/>
      <c r="EA20" s="57"/>
      <c r="EB20" s="57"/>
      <c r="EC20" s="57"/>
      <c r="ED20" s="57"/>
      <c r="EE20" s="57"/>
      <c r="EF20" s="57"/>
      <c r="EG20" s="24">
        <f t="array" ref="EG20">IF(ISNUMBER(DW20),INDEX('hyper-reps-lookup-table'!$B$2:$AE$31,DW20,DV20+1)*DU20*(36/(37-(DW20+DV20))),0)</f>
        <v>0</v>
      </c>
      <c r="EH20" s="24">
        <f t="array" ref="EH20">IF(ISNUMBER(DX20),INDEX('hyper-reps-lookup-table'!$B$2:$AE$31,DX20,DV20+1)*DU20*(36/(37-(DX20+DV20))),0)</f>
        <v>0</v>
      </c>
      <c r="EI20" s="24">
        <f t="array" ref="EI20">IF(ISNUMBER(DY20),INDEX('hyper-reps-lookup-table'!$B$2:$AE$31,DY20,DV20+1)*DU20*(36/(37-(DY20+DV20))),0)</f>
        <v>0</v>
      </c>
      <c r="EJ20" s="24">
        <f t="array" ref="EJ20">IF(ISNUMBER(DZ20),INDEX('hyper-reps-lookup-table'!$B$2:$AE$31,DZ20,DV20+1)*DU20*(36/(37-(DZ20+DV20))),0)</f>
        <v>0</v>
      </c>
      <c r="EK20" s="24">
        <f t="array" ref="EK20">IF(ISNUMBER(EA20),INDEX('hyper-reps-lookup-table'!$B$2:$AE$31,EA20,DV20+1)*DU20*(36/(37-(EA20+DV20))),0)</f>
        <v>0</v>
      </c>
      <c r="EL20" s="24">
        <f t="array" ref="EL20">IF(ISNUMBER(EB20),INDEX('hyper-reps-lookup-table'!$B$2:$AE$31,EB20,DV20+1)*DU20*(36/(37-(EB20+DV20))),0)</f>
        <v>0</v>
      </c>
      <c r="EM20" s="24">
        <f t="array" ref="EM20">IF(ISNUMBER(EC20),INDEX('hyper-reps-lookup-table'!$B$2:$AE$31,EC20,DV20+1)*DU20*(36/(37-(EC20+DV20))),0)</f>
        <v>0</v>
      </c>
      <c r="EN20" s="24">
        <f t="array" ref="EN20">IF(ISNUMBER(ED20),INDEX('hyper-reps-lookup-table'!$B$2:$AE$31,ED20,DV20+1)*DU20*(36/(37-(ED20+DV20))),0)</f>
        <v>0</v>
      </c>
      <c r="EO20" s="24">
        <f t="array" ref="EO20">IF(ISNUMBER(EE20),INDEX('hyper-reps-lookup-table'!$B$2:$AE$31,EE20,DV20+1)*DU20*(36/(37-(EE20+DV20))),0)</f>
        <v>0</v>
      </c>
      <c r="EP20" s="24">
        <f t="array" ref="EP20">IF(ISNUMBER(EF20),INDEX('hyper-reps-lookup-table'!$B$2:$AE$31,EF20,DV20+1)*DU20*(36/(37-(EF20+DV20))),0)</f>
        <v>0</v>
      </c>
      <c r="EQ20" s="55">
        <f t="shared" si="95"/>
        <v>0</v>
      </c>
      <c r="ER20" s="24">
        <f t="shared" si="96"/>
        <v>0</v>
      </c>
      <c r="ES20" s="24">
        <f t="shared" si="97"/>
        <v>0</v>
      </c>
      <c r="ET20" s="24">
        <f t="shared" si="98"/>
        <v>0</v>
      </c>
      <c r="EU20" s="24">
        <f t="shared" si="99"/>
        <v>0</v>
      </c>
      <c r="EV20" s="24">
        <f t="shared" si="100"/>
        <v>0</v>
      </c>
      <c r="EW20" s="5">
        <f t="shared" si="101"/>
        <v>0</v>
      </c>
      <c r="EX20" s="5">
        <f t="shared" si="102"/>
        <v>0</v>
      </c>
      <c r="EY20" s="24">
        <f t="shared" si="103"/>
        <v>0</v>
      </c>
      <c r="EZ20" s="24">
        <f t="shared" si="104"/>
        <v>0</v>
      </c>
      <c r="FA20" s="14"/>
    </row>
    <row r="21">
      <c r="A21" s="34"/>
      <c r="B21" s="60" t="s">
        <v>66</v>
      </c>
      <c r="I21" s="46" t="str">
        <f>I3</f>
        <v>Week 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8"/>
      <c r="AT21" s="46" t="str">
        <f>AT10</f>
        <v>Week 2</v>
      </c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8"/>
      <c r="CE21" s="46" t="str">
        <f>CE10</f>
        <v>Week 3</v>
      </c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8"/>
      <c r="DP21" s="46" t="str">
        <f>DP10</f>
        <v>Week 4</v>
      </c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8"/>
      <c r="FA21" s="47"/>
    </row>
    <row r="22">
      <c r="A22" s="34"/>
      <c r="B22" s="3"/>
      <c r="C22" s="3"/>
      <c r="D22" s="3"/>
      <c r="E22" s="3"/>
      <c r="F22" s="3"/>
      <c r="G22" s="3"/>
      <c r="H22" s="3"/>
      <c r="I22" s="18" t="s">
        <v>1</v>
      </c>
      <c r="J22" s="18" t="s">
        <v>32</v>
      </c>
      <c r="K22" s="18" t="s">
        <v>2</v>
      </c>
      <c r="L22" s="48" t="s">
        <v>33</v>
      </c>
      <c r="M22" s="18" t="s">
        <v>34</v>
      </c>
      <c r="N22" s="18" t="s">
        <v>3</v>
      </c>
      <c r="O22" s="18" t="s">
        <v>35</v>
      </c>
      <c r="P22" s="49" t="s">
        <v>36</v>
      </c>
      <c r="Q22" s="7"/>
      <c r="R22" s="7"/>
      <c r="S22" s="7"/>
      <c r="T22" s="7"/>
      <c r="U22" s="7"/>
      <c r="V22" s="7"/>
      <c r="W22" s="7"/>
      <c r="X22" s="7"/>
      <c r="Y22" s="8"/>
      <c r="Z22" s="49" t="s">
        <v>6</v>
      </c>
      <c r="AA22" s="7"/>
      <c r="AB22" s="7"/>
      <c r="AC22" s="7"/>
      <c r="AD22" s="7"/>
      <c r="AE22" s="7"/>
      <c r="AF22" s="7"/>
      <c r="AG22" s="7"/>
      <c r="AH22" s="7"/>
      <c r="AI22" s="8"/>
      <c r="AJ22" s="50" t="s">
        <v>37</v>
      </c>
      <c r="AK22" s="50" t="s">
        <v>38</v>
      </c>
      <c r="AL22" s="50" t="s">
        <v>39</v>
      </c>
      <c r="AM22" s="50" t="s">
        <v>6</v>
      </c>
      <c r="AN22" s="50" t="s">
        <v>40</v>
      </c>
      <c r="AO22" s="50" t="s">
        <v>41</v>
      </c>
      <c r="AP22" s="48" t="s">
        <v>42</v>
      </c>
      <c r="AQ22" s="48" t="s">
        <v>43</v>
      </c>
      <c r="AR22" s="50" t="s">
        <v>44</v>
      </c>
      <c r="AS22" s="50" t="s">
        <v>45</v>
      </c>
      <c r="AT22" s="18" t="s">
        <v>1</v>
      </c>
      <c r="AU22" s="18" t="s">
        <v>32</v>
      </c>
      <c r="AV22" s="18" t="s">
        <v>2</v>
      </c>
      <c r="AW22" s="18" t="s">
        <v>33</v>
      </c>
      <c r="AX22" s="48" t="s">
        <v>34</v>
      </c>
      <c r="AY22" s="18" t="s">
        <v>3</v>
      </c>
      <c r="AZ22" s="18" t="s">
        <v>35</v>
      </c>
      <c r="BA22" s="51" t="s">
        <v>36</v>
      </c>
      <c r="BB22" s="7"/>
      <c r="BC22" s="7"/>
      <c r="BD22" s="7"/>
      <c r="BE22" s="7"/>
      <c r="BF22" s="7"/>
      <c r="BG22" s="7"/>
      <c r="BH22" s="7"/>
      <c r="BI22" s="7"/>
      <c r="BJ22" s="8"/>
      <c r="BK22" s="49" t="s">
        <v>6</v>
      </c>
      <c r="BL22" s="7"/>
      <c r="BM22" s="7"/>
      <c r="BN22" s="7"/>
      <c r="BO22" s="7"/>
      <c r="BP22" s="7"/>
      <c r="BQ22" s="7"/>
      <c r="BR22" s="7"/>
      <c r="BS22" s="7"/>
      <c r="BT22" s="8"/>
      <c r="BU22" s="50" t="s">
        <v>37</v>
      </c>
      <c r="BV22" s="50" t="s">
        <v>38</v>
      </c>
      <c r="BW22" s="50" t="s">
        <v>39</v>
      </c>
      <c r="BX22" s="50" t="s">
        <v>6</v>
      </c>
      <c r="BY22" s="50" t="s">
        <v>40</v>
      </c>
      <c r="BZ22" s="50" t="s">
        <v>41</v>
      </c>
      <c r="CA22" s="48" t="s">
        <v>42</v>
      </c>
      <c r="CB22" s="48" t="s">
        <v>43</v>
      </c>
      <c r="CC22" s="50" t="s">
        <v>44</v>
      </c>
      <c r="CD22" s="50" t="s">
        <v>45</v>
      </c>
      <c r="CE22" s="18" t="s">
        <v>1</v>
      </c>
      <c r="CF22" s="18" t="s">
        <v>32</v>
      </c>
      <c r="CG22" s="18" t="s">
        <v>2</v>
      </c>
      <c r="CH22" s="18" t="s">
        <v>33</v>
      </c>
      <c r="CI22" s="48" t="s">
        <v>34</v>
      </c>
      <c r="CJ22" s="18" t="s">
        <v>3</v>
      </c>
      <c r="CK22" s="18" t="s">
        <v>35</v>
      </c>
      <c r="CL22" s="51" t="s">
        <v>36</v>
      </c>
      <c r="CM22" s="7"/>
      <c r="CN22" s="7"/>
      <c r="CO22" s="7"/>
      <c r="CP22" s="7"/>
      <c r="CQ22" s="7"/>
      <c r="CR22" s="7"/>
      <c r="CS22" s="7"/>
      <c r="CT22" s="7"/>
      <c r="CU22" s="8"/>
      <c r="CV22" s="49" t="s">
        <v>6</v>
      </c>
      <c r="CW22" s="7"/>
      <c r="CX22" s="7"/>
      <c r="CY22" s="7"/>
      <c r="CZ22" s="7"/>
      <c r="DA22" s="7"/>
      <c r="DB22" s="7"/>
      <c r="DC22" s="7"/>
      <c r="DD22" s="7"/>
      <c r="DE22" s="8"/>
      <c r="DF22" s="50" t="s">
        <v>37</v>
      </c>
      <c r="DG22" s="50" t="s">
        <v>38</v>
      </c>
      <c r="DH22" s="50" t="s">
        <v>39</v>
      </c>
      <c r="DI22" s="50" t="s">
        <v>6</v>
      </c>
      <c r="DJ22" s="50" t="s">
        <v>40</v>
      </c>
      <c r="DK22" s="50" t="s">
        <v>41</v>
      </c>
      <c r="DL22" s="48" t="s">
        <v>42</v>
      </c>
      <c r="DM22" s="48" t="s">
        <v>43</v>
      </c>
      <c r="DN22" s="50" t="s">
        <v>44</v>
      </c>
      <c r="DO22" s="50" t="s">
        <v>45</v>
      </c>
      <c r="DP22" s="18" t="s">
        <v>1</v>
      </c>
      <c r="DQ22" s="18" t="s">
        <v>32</v>
      </c>
      <c r="DR22" s="18" t="s">
        <v>2</v>
      </c>
      <c r="DS22" s="18" t="s">
        <v>33</v>
      </c>
      <c r="DT22" s="48" t="s">
        <v>34</v>
      </c>
      <c r="DU22" s="18" t="s">
        <v>3</v>
      </c>
      <c r="DV22" s="18" t="s">
        <v>35</v>
      </c>
      <c r="DW22" s="51" t="s">
        <v>36</v>
      </c>
      <c r="DX22" s="7"/>
      <c r="DY22" s="7"/>
      <c r="DZ22" s="7"/>
      <c r="EA22" s="7"/>
      <c r="EB22" s="7"/>
      <c r="EC22" s="7"/>
      <c r="ED22" s="7"/>
      <c r="EE22" s="7"/>
      <c r="EF22" s="8"/>
      <c r="EG22" s="49" t="s">
        <v>6</v>
      </c>
      <c r="EH22" s="7"/>
      <c r="EI22" s="7"/>
      <c r="EJ22" s="7"/>
      <c r="EK22" s="7"/>
      <c r="EL22" s="7"/>
      <c r="EM22" s="7"/>
      <c r="EN22" s="7"/>
      <c r="EO22" s="7"/>
      <c r="EP22" s="8"/>
      <c r="EQ22" s="50" t="s">
        <v>37</v>
      </c>
      <c r="ER22" s="50" t="s">
        <v>38</v>
      </c>
      <c r="ES22" s="50" t="s">
        <v>39</v>
      </c>
      <c r="ET22" s="50" t="s">
        <v>6</v>
      </c>
      <c r="EU22" s="50" t="s">
        <v>40</v>
      </c>
      <c r="EV22" s="50" t="s">
        <v>41</v>
      </c>
      <c r="EW22" s="48" t="s">
        <v>42</v>
      </c>
      <c r="EX22" s="48" t="s">
        <v>43</v>
      </c>
      <c r="EY22" s="50" t="s">
        <v>44</v>
      </c>
      <c r="EZ22" s="50" t="s">
        <v>45</v>
      </c>
      <c r="FA22" s="52"/>
    </row>
    <row r="23">
      <c r="A23" s="34"/>
      <c r="B23" s="53" t="s">
        <v>46</v>
      </c>
      <c r="C23" s="53" t="s">
        <v>7</v>
      </c>
      <c r="D23" s="59" t="s">
        <v>47</v>
      </c>
      <c r="E23" s="59" t="s">
        <v>48</v>
      </c>
      <c r="F23" s="53" t="s">
        <v>49</v>
      </c>
      <c r="G23" s="2" t="s">
        <v>50</v>
      </c>
      <c r="H23" s="53" t="s">
        <v>51</v>
      </c>
      <c r="I23" s="18" t="s">
        <v>67</v>
      </c>
      <c r="J23" s="18"/>
      <c r="K23" s="50"/>
      <c r="L23" s="48"/>
      <c r="M23" s="50"/>
      <c r="N23" s="50"/>
      <c r="O23" s="50"/>
      <c r="P23" s="49"/>
      <c r="Q23" s="7"/>
      <c r="R23" s="7"/>
      <c r="S23" s="7"/>
      <c r="T23" s="7"/>
      <c r="U23" s="7"/>
      <c r="V23" s="7"/>
      <c r="W23" s="7"/>
      <c r="X23" s="7"/>
      <c r="Y23" s="8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48"/>
      <c r="AQ23" s="48"/>
      <c r="AR23" s="50"/>
      <c r="AS23" s="50"/>
      <c r="AT23" s="18" t="s">
        <v>67</v>
      </c>
      <c r="AU23" s="18"/>
      <c r="AV23" s="50"/>
      <c r="AW23" s="50"/>
      <c r="AX23" s="48"/>
      <c r="AY23" s="50"/>
      <c r="AZ23" s="50"/>
      <c r="BA23" s="49"/>
      <c r="BB23" s="7"/>
      <c r="BC23" s="7"/>
      <c r="BD23" s="7"/>
      <c r="BE23" s="7"/>
      <c r="BF23" s="7"/>
      <c r="BG23" s="7"/>
      <c r="BH23" s="7"/>
      <c r="BI23" s="7"/>
      <c r="BJ23" s="8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48"/>
      <c r="CB23" s="48"/>
      <c r="CC23" s="50"/>
      <c r="CD23" s="50"/>
      <c r="CE23" s="18" t="s">
        <v>67</v>
      </c>
      <c r="CF23" s="18"/>
      <c r="CG23" s="50"/>
      <c r="CH23" s="50"/>
      <c r="CI23" s="48"/>
      <c r="CJ23" s="50"/>
      <c r="CK23" s="50"/>
      <c r="CL23" s="49"/>
      <c r="CM23" s="7"/>
      <c r="CN23" s="7"/>
      <c r="CO23" s="7"/>
      <c r="CP23" s="7"/>
      <c r="CQ23" s="7"/>
      <c r="CR23" s="7"/>
      <c r="CS23" s="7"/>
      <c r="CT23" s="7"/>
      <c r="CU23" s="8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48"/>
      <c r="DM23" s="48"/>
      <c r="DN23" s="50"/>
      <c r="DO23" s="50"/>
      <c r="DP23" s="18" t="s">
        <v>67</v>
      </c>
      <c r="DQ23" s="18"/>
      <c r="DR23" s="50"/>
      <c r="DS23" s="50"/>
      <c r="DT23" s="48"/>
      <c r="DU23" s="50"/>
      <c r="DV23" s="50"/>
      <c r="DW23" s="49"/>
      <c r="DX23" s="7"/>
      <c r="DY23" s="7"/>
      <c r="DZ23" s="7"/>
      <c r="EA23" s="7"/>
      <c r="EB23" s="7"/>
      <c r="EC23" s="7"/>
      <c r="ED23" s="7"/>
      <c r="EE23" s="7"/>
      <c r="EF23" s="8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48"/>
      <c r="EX23" s="48"/>
      <c r="EY23" s="50"/>
      <c r="EZ23" s="50"/>
      <c r="FA23" s="54"/>
    </row>
    <row r="24">
      <c r="A24" s="34"/>
      <c r="B24" s="27" t="s">
        <v>53</v>
      </c>
      <c r="C24" s="23">
        <v>100.0</v>
      </c>
      <c r="D24" s="29">
        <v>0.8</v>
      </c>
      <c r="E24" s="29">
        <v>0.85</v>
      </c>
      <c r="F24" s="23">
        <v>3.0</v>
      </c>
      <c r="G24" s="33">
        <v>180.0</v>
      </c>
      <c r="H24" s="33">
        <v>0.5</v>
      </c>
      <c r="I24" s="4" t="str">
        <f t="shared" ref="I24:I27" si="106">$B24</f>
        <v>Low Cable Squat [Trainer+]</v>
      </c>
      <c r="J24" s="27">
        <f t="shared" ref="J24:J27" si="107">MAX(ROUND($F24*75%,0),1)</f>
        <v>2</v>
      </c>
      <c r="K24" s="24">
        <f t="shared" ref="K24:K27" si="108">IF(ISNUMBER(J24),J24,MAX(ROUND($F24,0),1))</f>
        <v>2</v>
      </c>
      <c r="L24" s="5"/>
      <c r="M24" s="5">
        <f t="shared" ref="M24:M27" si="109">IF(ISNUMBER(L24),L24,MIN(MAX(MROUND(C24*$D24,$H24),$H24),$G24))</f>
        <v>80</v>
      </c>
      <c r="N24" s="5">
        <f t="shared" ref="N24:N27" si="110">M24</f>
        <v>80</v>
      </c>
      <c r="O24" s="23">
        <v>0.0</v>
      </c>
      <c r="P24" s="23"/>
      <c r="Q24" s="23"/>
      <c r="R24" s="23"/>
      <c r="S24" s="23"/>
      <c r="T24" s="24"/>
      <c r="U24" s="24"/>
      <c r="V24" s="24"/>
      <c r="W24" s="24"/>
      <c r="X24" s="24"/>
      <c r="Y24" s="24"/>
      <c r="Z24" s="24">
        <f t="array" ref="Z24">IF(ISNUMBER(P24),INDEX('hyper-reps-lookup-table'!$B$2:$AE$31,P24,O24+1)*N24*(36/(37-(P24+O24))),0)</f>
        <v>0</v>
      </c>
      <c r="AA24" s="24">
        <f t="array" ref="AA24">IF(ISNUMBER(Q24),INDEX('hyper-reps-lookup-table'!$B$2:$AE$31,Q24,O24+1)*N24*(36/(37-(Q24+O24))),0)</f>
        <v>0</v>
      </c>
      <c r="AB24" s="24">
        <f t="array" ref="AB24">IF(ISNUMBER(R24),INDEX('hyper-reps-lookup-table'!$B$2:$AE$31,R24,O24+1)*N24*(36/(37-(R24+O24))),0)</f>
        <v>0</v>
      </c>
      <c r="AC24" s="24">
        <f t="array" ref="AC24">IF(ISNUMBER(S24),INDEX('hyper-reps-lookup-table'!$B$2:$AE$31,S24,O24+1)*N24*(36/(37-(S24+O24))),0)</f>
        <v>0</v>
      </c>
      <c r="AD24" s="24">
        <f t="array" ref="AD24">IF(ISNUMBER(T24),INDEX('hyper-reps-lookup-table'!$B$2:$AE$31,T24,O24+1)*N24*(36/(37-(T24+O24))),0)</f>
        <v>0</v>
      </c>
      <c r="AE24" s="24">
        <f t="array" ref="AE24">IF(ISNUMBER(U24),INDEX('hyper-reps-lookup-table'!$B$2:$AE$31,U24,O24+1)*N24*(36/(37-(U24+O24))),0)</f>
        <v>0</v>
      </c>
      <c r="AF24" s="24">
        <f t="array" ref="AF24">IF(ISNUMBER(V24),INDEX('hyper-reps-lookup-table'!$B$2:$AE$31,V24,O24+1)*N24*(36/(37-(V24+O24))),0)</f>
        <v>0</v>
      </c>
      <c r="AG24" s="24">
        <f t="array" ref="AG24">IF(ISNUMBER(W24),INDEX('hyper-reps-lookup-table'!$B$2:$AE$31,W24,O24+1)*N24*(36/(37-(W24+O24))),0)</f>
        <v>0</v>
      </c>
      <c r="AH24" s="24">
        <f t="array" ref="AH24">IF(ISNUMBER(X24),INDEX('hyper-reps-lookup-table'!$B$2:$AE$31,X24,O24+1)*N24*(36/(37-(X24+O24))),0)</f>
        <v>0</v>
      </c>
      <c r="AI24" s="24">
        <f t="array" ref="AI24">IF(ISNUMBER(Y24),INDEX('hyper-reps-lookup-table'!$B$2:$AE$31,Y24,O24+1)*N24*(36/(37-(Y24+O24))),0)</f>
        <v>0</v>
      </c>
      <c r="AJ24" s="55">
        <f t="shared" ref="AJ24:AJ27" si="111">IF(AK24&gt;0,N24/AK24,0%)</f>
        <v>0</v>
      </c>
      <c r="AK24" s="24">
        <f t="shared" ref="AK24:AK27" si="112">IF(ISNUMBER(P24),N24*(36/(37-(P24+O24))),0)</f>
        <v>0</v>
      </c>
      <c r="AL24" s="24">
        <f t="shared" ref="AL24:AL27" si="113">SUM(P24:Y24)*N24</f>
        <v>0</v>
      </c>
      <c r="AM24" s="24">
        <f t="shared" ref="AM24:AM27" si="114">SUM(Z24:AI24)</f>
        <v>0</v>
      </c>
      <c r="AN24" s="24">
        <v>0.0</v>
      </c>
      <c r="AO24" s="24">
        <v>0.0</v>
      </c>
      <c r="AP24" s="5">
        <v>0.0</v>
      </c>
      <c r="AQ24" s="5">
        <v>0.0</v>
      </c>
      <c r="AR24" s="24">
        <v>0.0</v>
      </c>
      <c r="AS24" s="24">
        <v>0.0</v>
      </c>
      <c r="AT24" s="4" t="str">
        <f t="shared" ref="AT24:AT27" si="115">I24</f>
        <v>Low Cable Squat [Trainer+]</v>
      </c>
      <c r="AU24" s="24">
        <f t="shared" ref="AU24:AU27" si="116">MAX(ROUND($F24,0),1)</f>
        <v>3</v>
      </c>
      <c r="AV24" s="24">
        <f t="shared" ref="AV24:AV27" si="117">IF(ISNUMBER(AU24),AU24,MIN(MAX(IFS(CC24&gt;0,K24+1,CC24=0,K24,CC24&lt;0,K24),1),$F24))</f>
        <v>3</v>
      </c>
      <c r="AW24" s="23"/>
      <c r="AX24" s="5">
        <f t="shared" ref="AX24:AX27" si="118">IF(ISNUMBER(AW24),AW24,MIN(MAX(MIN(IFS(CC24&gt;0,M24*1.025,CC24=0,M24,CC24&lt;0,AK24*$D24),AK24*$E24),AK24*$D24),$G24))</f>
        <v>0</v>
      </c>
      <c r="AY24" s="5">
        <f t="shared" ref="AY24:AY27" si="119">IF(ISNUMBER(AW24),AW24,MAX(MROUND(AX24,$H24),$H24))</f>
        <v>0.5</v>
      </c>
      <c r="AZ24" s="23">
        <v>0.0</v>
      </c>
      <c r="BA24" s="56"/>
      <c r="BB24" s="56"/>
      <c r="BC24" s="56"/>
      <c r="BD24" s="56"/>
      <c r="BE24" s="57"/>
      <c r="BF24" s="57"/>
      <c r="BG24" s="57"/>
      <c r="BH24" s="57"/>
      <c r="BI24" s="57"/>
      <c r="BJ24" s="57"/>
      <c r="BK24" s="24">
        <f t="array" ref="BK24">IF(ISNUMBER(BA24),INDEX('hyper-reps-lookup-table'!$B$2:$AE$31,BA24,AZ24+1)*AY24*(36/(37-(BA24+AZ24))),0)</f>
        <v>0</v>
      </c>
      <c r="BL24" s="24">
        <f t="array" ref="BL24">IF(ISNUMBER(BB24),INDEX('hyper-reps-lookup-table'!$B$2:$AE$31,BB24,AZ24+1)*AY24*(36/(37-(BB24+AZ24))),0)</f>
        <v>0</v>
      </c>
      <c r="BM24" s="24">
        <f t="array" ref="BM24">IF(ISNUMBER(BC24),INDEX('hyper-reps-lookup-table'!$B$2:$AE$31,BC24,AZ24+1)*AY24*(36/(37-(BC24+AZ24))),0)</f>
        <v>0</v>
      </c>
      <c r="BN24" s="24">
        <f t="array" ref="BN24">IF(ISNUMBER(BD24),INDEX('hyper-reps-lookup-table'!$B$2:$AE$31,BD24,AZ24+1)*AY24*(36/(37-(BD24+AZ24))),0)</f>
        <v>0</v>
      </c>
      <c r="BO24" s="24">
        <f t="array" ref="BO24">IF(ISNUMBER(BE24),INDEX('hyper-reps-lookup-table'!$B$2:$AE$31,BE24,AZ24+1)*AY24*(36/(37-(BE24+AZ24))),0)</f>
        <v>0</v>
      </c>
      <c r="BP24" s="24">
        <f t="array" ref="BP24">IF(ISNUMBER(BF24),INDEX('hyper-reps-lookup-table'!$B$2:$AE$31,BF24,AZ24+1)*AY24*(36/(37-(BF24+AZ24))),0)</f>
        <v>0</v>
      </c>
      <c r="BQ24" s="24">
        <f t="array" ref="BQ24">IF(ISNUMBER(BG24),INDEX('hyper-reps-lookup-table'!$B$2:$AE$31,BG24,AZ24+1)*AY24*(36/(37-(BG24+AZ24))),0)</f>
        <v>0</v>
      </c>
      <c r="BR24" s="24">
        <f t="array" ref="BR24">IF(ISNUMBER(BH24),INDEX('hyper-reps-lookup-table'!$B$2:$AE$31,BH24,AZ24+1)*AY24*(36/(37-(BH24+AZ24))),0)</f>
        <v>0</v>
      </c>
      <c r="BS24" s="24">
        <f t="array" ref="BS24">IF(ISNUMBER(BI24),INDEX('hyper-reps-lookup-table'!$B$2:$AE$31,BI24,AZ24+1)*AY24*(36/(37-(BI24+AZ24))),0)</f>
        <v>0</v>
      </c>
      <c r="BT24" s="24">
        <f t="array" ref="BT24">IF(ISNUMBER(BJ24),INDEX('hyper-reps-lookup-table'!$B$2:$AE$31,BJ24,AZ24+1)*AY24*(36/(37-(BJ24+AZ24))),0)</f>
        <v>0</v>
      </c>
      <c r="BU24" s="55">
        <f t="shared" ref="BU24:BU27" si="120">IF(BV24&gt;0,AY24/BV24,0%)</f>
        <v>0</v>
      </c>
      <c r="BV24" s="24">
        <f t="shared" ref="BV24:BV27" si="121">IF(ISNUMBER(BA24),AY24*(36/(37-(BA24+AZ24))),0)</f>
        <v>0</v>
      </c>
      <c r="BW24" s="24">
        <f t="shared" ref="BW24:BW27" si="122">SUM(BA24:BJ24)*AY24</f>
        <v>0</v>
      </c>
      <c r="BX24" s="24">
        <f t="shared" ref="BX24:BX27" si="123">SUM(BK24:BT24)</f>
        <v>0</v>
      </c>
      <c r="BY24" s="24">
        <f t="shared" ref="BY24:BY27" si="124">MROUND(SUM(Z24:OFFSET(Z24,0,MIN(AV24,K24)-1)),$H24)</f>
        <v>0</v>
      </c>
      <c r="BZ24" s="24">
        <f t="shared" ref="BZ24:BZ27" si="125">MROUND(SUM(BK24:OFFSET(BK24,0,MIN(AV24,K24)-1)),$H24)</f>
        <v>0</v>
      </c>
      <c r="CA24" s="5">
        <f t="shared" ref="CA24:CA27" si="126">CB6</f>
        <v>0</v>
      </c>
      <c r="CB24" s="5">
        <f t="shared" ref="CB24:CB27" si="127">IF(AND(ISNUMBER(OFFSET(BA24,0,AV24-1)),AT24=I24),IFS(CC24&lt;0,0,BZ24&gt;BY24,1,BZ24&lt;BY24,-0.5,BZ24=BY24,0),0)</f>
        <v>0</v>
      </c>
      <c r="CC24" s="24">
        <f t="shared" ref="CC24:CC27" si="128">CD6</f>
        <v>0</v>
      </c>
      <c r="CD24" s="24">
        <f t="shared" ref="CD24:CD27" si="129">IFS(CC24=-1,-2,CC24=-2,0,CB24&gt;0,1,(CB24+CA24)=-1,-1,CB24=0,0,CB24&lt;0,0)</f>
        <v>0</v>
      </c>
      <c r="CE24" s="4" t="str">
        <f t="shared" ref="CE24:CE27" si="130">AT24</f>
        <v>Low Cable Squat [Trainer+]</v>
      </c>
      <c r="CF24" s="24"/>
      <c r="CG24" s="24">
        <f t="shared" ref="CG24:CG27" si="131">IF(ISNUMBER(CF24),CF24,MIN(MAX(IFS(DN24&gt;0,AV24+1,DN24=0,AV24,DN24&lt;0,AV24),1),$F24))</f>
        <v>3</v>
      </c>
      <c r="CH24" s="23"/>
      <c r="CI24" s="5">
        <f t="shared" ref="CI24:CI27" si="132">IF(ISNUMBER(CH24),CH24,MIN(MAX(MIN(IFS(DN24&gt;0,AX24*1.025,DN24=0,AX24,DN24&lt;0,BV24*$D24),BV24*$E24),BV24*$D24),$G24))</f>
        <v>0</v>
      </c>
      <c r="CJ24" s="5">
        <f t="shared" ref="CJ24:CJ27" si="133">IF(ISNUMBER(CH24),CH24,MAX(MROUND(CI24,$H24),$H24))</f>
        <v>0.5</v>
      </c>
      <c r="CK24" s="23">
        <v>0.0</v>
      </c>
      <c r="CL24" s="56"/>
      <c r="CM24" s="56"/>
      <c r="CN24" s="56"/>
      <c r="CO24" s="56"/>
      <c r="CP24" s="57"/>
      <c r="CQ24" s="57"/>
      <c r="CR24" s="57"/>
      <c r="CS24" s="57"/>
      <c r="CT24" s="57"/>
      <c r="CU24" s="57"/>
      <c r="CV24" s="24">
        <f t="array" ref="CV24">IF(ISNUMBER(CL24),INDEX('hyper-reps-lookup-table'!$B$2:$AE$31,CL24,CK24+1)*CJ24*(36/(37-(CL24+CK24))),0)</f>
        <v>0</v>
      </c>
      <c r="CW24" s="24">
        <f t="array" ref="CW24">IF(ISNUMBER(CM24),INDEX('hyper-reps-lookup-table'!$B$2:$AE$31,CM24,CK24+1)*CJ24*(36/(37-(CM24+CK24))),0)</f>
        <v>0</v>
      </c>
      <c r="CX24" s="24">
        <f t="array" ref="CX24">IF(ISNUMBER(CN24),INDEX('hyper-reps-lookup-table'!$B$2:$AE$31,CN24,CK24+1)*CJ24*(36/(37-(CN24+CK24))),0)</f>
        <v>0</v>
      </c>
      <c r="CY24" s="24">
        <f t="array" ref="CY24">IF(ISNUMBER(CO24),INDEX('hyper-reps-lookup-table'!$B$2:$AE$31,CO24,CK24+1)*CJ24*(36/(37-(CO24+CK24))),0)</f>
        <v>0</v>
      </c>
      <c r="CZ24" s="24">
        <f t="array" ref="CZ24">IF(ISNUMBER(CP24),INDEX('hyper-reps-lookup-table'!$B$2:$AE$31,CP24,CK24+1)*CJ24*(36/(37-(CP24+CK24))),0)</f>
        <v>0</v>
      </c>
      <c r="DA24" s="24">
        <f t="array" ref="DA24">IF(ISNUMBER(CQ24),INDEX('hyper-reps-lookup-table'!$B$2:$AE$31,CQ24,CK24+1)*CJ24*(36/(37-(CQ24+CK24))),0)</f>
        <v>0</v>
      </c>
      <c r="DB24" s="24">
        <f t="array" ref="DB24">IF(ISNUMBER(CR24),INDEX('hyper-reps-lookup-table'!$B$2:$AE$31,CR24,CK24+1)*CJ24*(36/(37-(CR24+CK24))),0)</f>
        <v>0</v>
      </c>
      <c r="DC24" s="24">
        <f t="array" ref="DC24">IF(ISNUMBER(CS24),INDEX('hyper-reps-lookup-table'!$B$2:$AE$31,CS24,CK24+1)*CJ24*(36/(37-(CS24+CK24))),0)</f>
        <v>0</v>
      </c>
      <c r="DD24" s="24">
        <f t="array" ref="DD24">IF(ISNUMBER(CT24),INDEX('hyper-reps-lookup-table'!$B$2:$AE$31,CT24,CK24+1)*CJ24*(36/(37-(CT24+CK24))),0)</f>
        <v>0</v>
      </c>
      <c r="DE24" s="24">
        <f t="array" ref="DE24">IF(ISNUMBER(CU24),INDEX('hyper-reps-lookup-table'!$B$2:$AE$31,CU24,CK24+1)*CJ24*(36/(37-(CU24+CK24))),0)</f>
        <v>0</v>
      </c>
      <c r="DF24" s="55">
        <f t="shared" ref="DF24:DF27" si="134">IF(DG24&gt;0,CJ24/DG24,0%)</f>
        <v>0</v>
      </c>
      <c r="DG24" s="24">
        <f t="shared" ref="DG24:DG27" si="135">IF(ISNUMBER(CL24),CJ24*(36/(37-(CL24+CK24))),0)</f>
        <v>0</v>
      </c>
      <c r="DH24" s="24">
        <f t="shared" ref="DH24:DH27" si="136">SUM(CL24:CU24)*CJ24</f>
        <v>0</v>
      </c>
      <c r="DI24" s="24">
        <f t="shared" ref="DI24:DI27" si="137">SUM(CV24:DE24)</f>
        <v>0</v>
      </c>
      <c r="DJ24" s="24">
        <f t="shared" ref="DJ24:DJ27" si="138">MROUND(SUM(BK24:OFFSET(BK24,0,MIN(CG24,AV24)-1)),$H24)</f>
        <v>0</v>
      </c>
      <c r="DK24" s="24">
        <f t="shared" ref="DK24:DK27" si="139">MROUND(SUM(CV24:OFFSET(CV24,0,MIN(CG24,AV24)-1)),$H24)</f>
        <v>0</v>
      </c>
      <c r="DL24" s="5">
        <f t="shared" ref="DL24:DL27" si="140">DM6</f>
        <v>0</v>
      </c>
      <c r="DM24" s="5">
        <f t="shared" ref="DM24:DM27" si="141">IF(AND(ISNUMBER(OFFSET(CL24,0,CG24-1)),CE24=AT24),IFS(DN24&lt;0,0,DK24&gt;DJ24,1,DK24&lt;DJ24,-0.5,DK24=DJ24,0),0)</f>
        <v>0</v>
      </c>
      <c r="DN24" s="24">
        <f t="shared" ref="DN24:DN27" si="142">DO6</f>
        <v>0</v>
      </c>
      <c r="DO24" s="24">
        <f t="shared" ref="DO24:DO27" si="143">IFS(DN24=-1,-2,DN24=-2,0,DM24&gt;0,1,(DM24+DL24)=-1,-1,DM24=0,0,DM24&lt;0,0)</f>
        <v>0</v>
      </c>
      <c r="DP24" s="4" t="str">
        <f t="shared" ref="DP24:DP27" si="144">CE24</f>
        <v>Low Cable Squat [Trainer+]</v>
      </c>
      <c r="DQ24" s="24"/>
      <c r="DR24" s="24">
        <f t="shared" ref="DR24:DR27" si="145">IF(ISNUMBER(DQ24),DQ24,MIN(MAX(IFS(EY24&gt;0,CG24+1,EY24=0,CG24,EY24&lt;0,CG24),1),$F24))</f>
        <v>3</v>
      </c>
      <c r="DS24" s="23"/>
      <c r="DT24" s="5">
        <f t="shared" ref="DT24:DT27" si="146">IF(ISNUMBER(DS24),DS24,MIN(MAX(MIN(IFS(EY24&gt;0,CI24*1.025,EY24=0,CI24,EY24&lt;0,DG24*$D24),DG24*$E24),DG24*$D24),$G24))</f>
        <v>0</v>
      </c>
      <c r="DU24" s="5">
        <f t="shared" ref="DU24:DU27" si="147">IF(ISNUMBER(DS24),DS24,MAX(MROUND(DT24,$H24),$H24))</f>
        <v>0.5</v>
      </c>
      <c r="DV24" s="23">
        <v>0.0</v>
      </c>
      <c r="DW24" s="56"/>
      <c r="DX24" s="56"/>
      <c r="DY24" s="56"/>
      <c r="DZ24" s="56"/>
      <c r="EA24" s="57"/>
      <c r="EB24" s="57"/>
      <c r="EC24" s="57"/>
      <c r="ED24" s="57"/>
      <c r="EE24" s="57"/>
      <c r="EF24" s="57"/>
      <c r="EG24" s="24">
        <f t="array" ref="EG24">IF(ISNUMBER(DW24),INDEX('hyper-reps-lookup-table'!$B$2:$AE$31,DW24,DV24+1)*DU24*(36/(37-(DW24+DV24))),0)</f>
        <v>0</v>
      </c>
      <c r="EH24" s="24">
        <f t="array" ref="EH24">IF(ISNUMBER(DX24),INDEX('hyper-reps-lookup-table'!$B$2:$AE$31,DX24,DV24+1)*DU24*(36/(37-(DX24+DV24))),0)</f>
        <v>0</v>
      </c>
      <c r="EI24" s="24">
        <f t="array" ref="EI24">IF(ISNUMBER(DY24),INDEX('hyper-reps-lookup-table'!$B$2:$AE$31,DY24,DV24+1)*DU24*(36/(37-(DY24+DV24))),0)</f>
        <v>0</v>
      </c>
      <c r="EJ24" s="24">
        <f t="array" ref="EJ24">IF(ISNUMBER(DZ24),INDEX('hyper-reps-lookup-table'!$B$2:$AE$31,DZ24,DV24+1)*DU24*(36/(37-(DZ24+DV24))),0)</f>
        <v>0</v>
      </c>
      <c r="EK24" s="24">
        <f t="array" ref="EK24">IF(ISNUMBER(EA24),INDEX('hyper-reps-lookup-table'!$B$2:$AE$31,EA24,DV24+1)*DU24*(36/(37-(EA24+DV24))),0)</f>
        <v>0</v>
      </c>
      <c r="EL24" s="24">
        <f t="array" ref="EL24">IF(ISNUMBER(EB24),INDEX('hyper-reps-lookup-table'!$B$2:$AE$31,EB24,DV24+1)*DU24*(36/(37-(EB24+DV24))),0)</f>
        <v>0</v>
      </c>
      <c r="EM24" s="24">
        <f t="array" ref="EM24">IF(ISNUMBER(EC24),INDEX('hyper-reps-lookup-table'!$B$2:$AE$31,EC24,DV24+1)*DU24*(36/(37-(EC24+DV24))),0)</f>
        <v>0</v>
      </c>
      <c r="EN24" s="24">
        <f t="array" ref="EN24">IF(ISNUMBER(ED24),INDEX('hyper-reps-lookup-table'!$B$2:$AE$31,ED24,DV24+1)*DU24*(36/(37-(ED24+DV24))),0)</f>
        <v>0</v>
      </c>
      <c r="EO24" s="24">
        <f t="array" ref="EO24">IF(ISNUMBER(EE24),INDEX('hyper-reps-lookup-table'!$B$2:$AE$31,EE24,DV24+1)*DU24*(36/(37-(EE24+DV24))),0)</f>
        <v>0</v>
      </c>
      <c r="EP24" s="24">
        <f t="array" ref="EP24">IF(ISNUMBER(EF24),INDEX('hyper-reps-lookup-table'!$B$2:$AE$31,EF24,DV24+1)*DU24*(36/(37-(EF24+DV24))),0)</f>
        <v>0</v>
      </c>
      <c r="EQ24" s="55">
        <f t="shared" ref="EQ24:EQ27" si="148">IF(ER24&gt;0,DU24/ER24,0%)</f>
        <v>0</v>
      </c>
      <c r="ER24" s="24">
        <f t="shared" ref="ER24:ER27" si="149">IF(ISNUMBER(DW24),DU24*(36/(37-(DW24+DV24))),0)</f>
        <v>0</v>
      </c>
      <c r="ES24" s="24">
        <f t="shared" ref="ES24:ES27" si="150">SUM(DW24:EF24)*DU24</f>
        <v>0</v>
      </c>
      <c r="ET24" s="24">
        <f t="shared" ref="ET24:ET27" si="151">SUM(EG24:EP24)</f>
        <v>0</v>
      </c>
      <c r="EU24" s="24">
        <f t="shared" ref="EU24:EU27" si="152">MROUND(SUM(CV24:OFFSET(CV24,0,MIN(DR24,CG24)-1)),$H24)</f>
        <v>0</v>
      </c>
      <c r="EV24" s="24">
        <f t="shared" ref="EV24:EV27" si="153">MROUND(SUM(EG24:OFFSET(EG24,0,MIN(DR24,CG24)-1)),$H24)</f>
        <v>0</v>
      </c>
      <c r="EW24" s="5">
        <f t="shared" ref="EW24:EW27" si="154">EX6</f>
        <v>0</v>
      </c>
      <c r="EX24" s="5">
        <f t="shared" ref="EX24:EX27" si="155">IF(AND(ISNUMBER(OFFSET(DW24,0,DR24-1)),DP24=CE24),IFS(EY24&lt;0,0,EV24&gt;EU24,1,EV24&lt;EU24,-0.5,EV24=EU24,0),0)</f>
        <v>0</v>
      </c>
      <c r="EY24" s="24">
        <f t="shared" ref="EY24:EY27" si="156">EZ6</f>
        <v>0</v>
      </c>
      <c r="EZ24" s="24">
        <f t="shared" ref="EZ24:EZ27" si="157">IFS(EY24=-1,-2,EY24=-2,0,EX24&gt;0,1,(EX24+EW24)=-1,-1,EX24=0,0,EX24&lt;0,0)</f>
        <v>0</v>
      </c>
      <c r="FA24" s="14"/>
    </row>
    <row r="25">
      <c r="A25" s="34"/>
      <c r="B25" s="27" t="s">
        <v>54</v>
      </c>
      <c r="C25" s="23">
        <v>100.0</v>
      </c>
      <c r="D25" s="29">
        <v>0.8</v>
      </c>
      <c r="E25" s="29">
        <v>0.85</v>
      </c>
      <c r="F25" s="23">
        <v>3.0</v>
      </c>
      <c r="G25" s="33">
        <v>180.0</v>
      </c>
      <c r="H25" s="33">
        <v>0.5</v>
      </c>
      <c r="I25" s="4" t="str">
        <f t="shared" si="106"/>
        <v>Romanian Deadlift [Trainer+]</v>
      </c>
      <c r="J25" s="27">
        <f t="shared" si="107"/>
        <v>2</v>
      </c>
      <c r="K25" s="24">
        <f t="shared" si="108"/>
        <v>2</v>
      </c>
      <c r="L25" s="5"/>
      <c r="M25" s="5">
        <f t="shared" si="109"/>
        <v>80</v>
      </c>
      <c r="N25" s="5">
        <f t="shared" si="110"/>
        <v>80</v>
      </c>
      <c r="O25" s="23">
        <v>0.0</v>
      </c>
      <c r="P25" s="23"/>
      <c r="Q25" s="23"/>
      <c r="R25" s="23"/>
      <c r="S25" s="24"/>
      <c r="T25" s="24"/>
      <c r="U25" s="24"/>
      <c r="V25" s="24"/>
      <c r="W25" s="24"/>
      <c r="X25" s="24"/>
      <c r="Y25" s="24"/>
      <c r="Z25" s="24">
        <f t="array" ref="Z25">IF(ISNUMBER(P25),INDEX('hyper-reps-lookup-table'!$B$2:$AE$31,P25,O25+1)*N25*(36/(37-(P25+O25))),0)</f>
        <v>0</v>
      </c>
      <c r="AA25" s="24">
        <f t="array" ref="AA25">IF(ISNUMBER(Q25),INDEX('hyper-reps-lookup-table'!$B$2:$AE$31,Q25,O25+1)*N25*(36/(37-(Q25+O25))),0)</f>
        <v>0</v>
      </c>
      <c r="AB25" s="24">
        <f t="array" ref="AB25">IF(ISNUMBER(R25),INDEX('hyper-reps-lookup-table'!$B$2:$AE$31,R25,O25+1)*N25*(36/(37-(R25+O25))),0)</f>
        <v>0</v>
      </c>
      <c r="AC25" s="24">
        <f t="array" ref="AC25">IF(ISNUMBER(S25),INDEX('hyper-reps-lookup-table'!$B$2:$AE$31,S25,O25+1)*N25*(36/(37-(S25+O25))),0)</f>
        <v>0</v>
      </c>
      <c r="AD25" s="24">
        <f t="array" ref="AD25">IF(ISNUMBER(T25),INDEX('hyper-reps-lookup-table'!$B$2:$AE$31,T25,O25+1)*N25*(36/(37-(T25+O25))),0)</f>
        <v>0</v>
      </c>
      <c r="AE25" s="24">
        <f t="array" ref="AE25">IF(ISNUMBER(U25),INDEX('hyper-reps-lookup-table'!$B$2:$AE$31,U25,O25+1)*N25*(36/(37-(U25+O25))),0)</f>
        <v>0</v>
      </c>
      <c r="AF25" s="24">
        <f t="array" ref="AF25">IF(ISNUMBER(V25),INDEX('hyper-reps-lookup-table'!$B$2:$AE$31,V25,O25+1)*N25*(36/(37-(V25+O25))),0)</f>
        <v>0</v>
      </c>
      <c r="AG25" s="24">
        <f t="array" ref="AG25">IF(ISNUMBER(W25),INDEX('hyper-reps-lookup-table'!$B$2:$AE$31,W25,O25+1)*N25*(36/(37-(W25+O25))),0)</f>
        <v>0</v>
      </c>
      <c r="AH25" s="24">
        <f t="array" ref="AH25">IF(ISNUMBER(X25),INDEX('hyper-reps-lookup-table'!$B$2:$AE$31,X25,O25+1)*N25*(36/(37-(X25+O25))),0)</f>
        <v>0</v>
      </c>
      <c r="AI25" s="24">
        <f t="array" ref="AI25">IF(ISNUMBER(Y25),INDEX('hyper-reps-lookup-table'!$B$2:$AE$31,Y25,O25+1)*N25*(36/(37-(Y25+O25))),0)</f>
        <v>0</v>
      </c>
      <c r="AJ25" s="55">
        <f t="shared" si="111"/>
        <v>0</v>
      </c>
      <c r="AK25" s="24">
        <f t="shared" si="112"/>
        <v>0</v>
      </c>
      <c r="AL25" s="24">
        <f t="shared" si="113"/>
        <v>0</v>
      </c>
      <c r="AM25" s="24">
        <f t="shared" si="114"/>
        <v>0</v>
      </c>
      <c r="AN25" s="24">
        <v>0.0</v>
      </c>
      <c r="AO25" s="24">
        <v>0.0</v>
      </c>
      <c r="AP25" s="5">
        <v>0.0</v>
      </c>
      <c r="AQ25" s="5">
        <v>0.0</v>
      </c>
      <c r="AR25" s="24">
        <v>0.0</v>
      </c>
      <c r="AS25" s="24">
        <v>0.0</v>
      </c>
      <c r="AT25" s="4" t="str">
        <f t="shared" si="115"/>
        <v>Romanian Deadlift [Trainer+]</v>
      </c>
      <c r="AU25" s="24">
        <f t="shared" si="116"/>
        <v>3</v>
      </c>
      <c r="AV25" s="24">
        <f t="shared" si="117"/>
        <v>3</v>
      </c>
      <c r="AW25" s="23"/>
      <c r="AX25" s="5">
        <f t="shared" si="118"/>
        <v>0</v>
      </c>
      <c r="AY25" s="5">
        <f t="shared" si="119"/>
        <v>0.5</v>
      </c>
      <c r="AZ25" s="23">
        <v>0.0</v>
      </c>
      <c r="BA25" s="56"/>
      <c r="BB25" s="56"/>
      <c r="BC25" s="56"/>
      <c r="BD25" s="56"/>
      <c r="BE25" s="57"/>
      <c r="BF25" s="57"/>
      <c r="BG25" s="57"/>
      <c r="BH25" s="57"/>
      <c r="BI25" s="57"/>
      <c r="BJ25" s="57"/>
      <c r="BK25" s="24">
        <f t="array" ref="BK25">IF(ISNUMBER(BA25),INDEX('hyper-reps-lookup-table'!$B$2:$AE$31,BA25,AZ25+1)*AY25*(36/(37-(BA25+AZ25))),0)</f>
        <v>0</v>
      </c>
      <c r="BL25" s="24">
        <f t="array" ref="BL25">IF(ISNUMBER(BB25),INDEX('hyper-reps-lookup-table'!$B$2:$AE$31,BB25,AZ25+1)*AY25*(36/(37-(BB25+AZ25))),0)</f>
        <v>0</v>
      </c>
      <c r="BM25" s="24">
        <f t="array" ref="BM25">IF(ISNUMBER(BC25),INDEX('hyper-reps-lookup-table'!$B$2:$AE$31,BC25,AZ25+1)*AY25*(36/(37-(BC25+AZ25))),0)</f>
        <v>0</v>
      </c>
      <c r="BN25" s="24">
        <f t="array" ref="BN25">IF(ISNUMBER(BD25),INDEX('hyper-reps-lookup-table'!$B$2:$AE$31,BD25,AZ25+1)*AY25*(36/(37-(BD25+AZ25))),0)</f>
        <v>0</v>
      </c>
      <c r="BO25" s="24">
        <f t="array" ref="BO25">IF(ISNUMBER(BE25),INDEX('hyper-reps-lookup-table'!$B$2:$AE$31,BE25,AZ25+1)*AY25*(36/(37-(BE25+AZ25))),0)</f>
        <v>0</v>
      </c>
      <c r="BP25" s="24">
        <f t="array" ref="BP25">IF(ISNUMBER(BF25),INDEX('hyper-reps-lookup-table'!$B$2:$AE$31,BF25,AZ25+1)*AY25*(36/(37-(BF25+AZ25))),0)</f>
        <v>0</v>
      </c>
      <c r="BQ25" s="24">
        <f t="array" ref="BQ25">IF(ISNUMBER(BG25),INDEX('hyper-reps-lookup-table'!$B$2:$AE$31,BG25,AZ25+1)*AY25*(36/(37-(BG25+AZ25))),0)</f>
        <v>0</v>
      </c>
      <c r="BR25" s="24">
        <f t="array" ref="BR25">IF(ISNUMBER(BH25),INDEX('hyper-reps-lookup-table'!$B$2:$AE$31,BH25,AZ25+1)*AY25*(36/(37-(BH25+AZ25))),0)</f>
        <v>0</v>
      </c>
      <c r="BS25" s="24">
        <f t="array" ref="BS25">IF(ISNUMBER(BI25),INDEX('hyper-reps-lookup-table'!$B$2:$AE$31,BI25,AZ25+1)*AY25*(36/(37-(BI25+AZ25))),0)</f>
        <v>0</v>
      </c>
      <c r="BT25" s="24">
        <f t="array" ref="BT25">IF(ISNUMBER(BJ25),INDEX('hyper-reps-lookup-table'!$B$2:$AE$31,BJ25,AZ25+1)*AY25*(36/(37-(BJ25+AZ25))),0)</f>
        <v>0</v>
      </c>
      <c r="BU25" s="55">
        <f t="shared" si="120"/>
        <v>0</v>
      </c>
      <c r="BV25" s="24">
        <f t="shared" si="121"/>
        <v>0</v>
      </c>
      <c r="BW25" s="24">
        <f t="shared" si="122"/>
        <v>0</v>
      </c>
      <c r="BX25" s="24">
        <f t="shared" si="123"/>
        <v>0</v>
      </c>
      <c r="BY25" s="24">
        <f t="shared" si="124"/>
        <v>0</v>
      </c>
      <c r="BZ25" s="24">
        <f t="shared" si="125"/>
        <v>0</v>
      </c>
      <c r="CA25" s="5">
        <f t="shared" si="126"/>
        <v>0</v>
      </c>
      <c r="CB25" s="5">
        <f t="shared" si="127"/>
        <v>0</v>
      </c>
      <c r="CC25" s="24">
        <f t="shared" si="128"/>
        <v>0</v>
      </c>
      <c r="CD25" s="24">
        <f t="shared" si="129"/>
        <v>0</v>
      </c>
      <c r="CE25" s="4" t="str">
        <f t="shared" si="130"/>
        <v>Romanian Deadlift [Trainer+]</v>
      </c>
      <c r="CF25" s="24"/>
      <c r="CG25" s="24">
        <f t="shared" si="131"/>
        <v>3</v>
      </c>
      <c r="CH25" s="23"/>
      <c r="CI25" s="5">
        <f t="shared" si="132"/>
        <v>0</v>
      </c>
      <c r="CJ25" s="5">
        <f t="shared" si="133"/>
        <v>0.5</v>
      </c>
      <c r="CK25" s="23">
        <v>0.0</v>
      </c>
      <c r="CL25" s="56"/>
      <c r="CM25" s="56"/>
      <c r="CN25" s="56"/>
      <c r="CO25" s="56"/>
      <c r="CP25" s="57"/>
      <c r="CQ25" s="57"/>
      <c r="CR25" s="57"/>
      <c r="CS25" s="57"/>
      <c r="CT25" s="57"/>
      <c r="CU25" s="57"/>
      <c r="CV25" s="24">
        <f t="array" ref="CV25">IF(ISNUMBER(CL25),INDEX('hyper-reps-lookup-table'!$B$2:$AE$31,CL25,CK25+1)*CJ25*(36/(37-(CL25+CK25))),0)</f>
        <v>0</v>
      </c>
      <c r="CW25" s="24">
        <f t="array" ref="CW25">IF(ISNUMBER(CM25),INDEX('hyper-reps-lookup-table'!$B$2:$AE$31,CM25,CK25+1)*CJ25*(36/(37-(CM25+CK25))),0)</f>
        <v>0</v>
      </c>
      <c r="CX25" s="24">
        <f t="array" ref="CX25">IF(ISNUMBER(CN25),INDEX('hyper-reps-lookup-table'!$B$2:$AE$31,CN25,CK25+1)*CJ25*(36/(37-(CN25+CK25))),0)</f>
        <v>0</v>
      </c>
      <c r="CY25" s="24">
        <f t="array" ref="CY25">IF(ISNUMBER(CO25),INDEX('hyper-reps-lookup-table'!$B$2:$AE$31,CO25,CK25+1)*CJ25*(36/(37-(CO25+CK25))),0)</f>
        <v>0</v>
      </c>
      <c r="CZ25" s="24">
        <f t="array" ref="CZ25">IF(ISNUMBER(CP25),INDEX('hyper-reps-lookup-table'!$B$2:$AE$31,CP25,CK25+1)*CJ25*(36/(37-(CP25+CK25))),0)</f>
        <v>0</v>
      </c>
      <c r="DA25" s="24">
        <f t="array" ref="DA25">IF(ISNUMBER(CQ25),INDEX('hyper-reps-lookup-table'!$B$2:$AE$31,CQ25,CK25+1)*CJ25*(36/(37-(CQ25+CK25))),0)</f>
        <v>0</v>
      </c>
      <c r="DB25" s="24">
        <f t="array" ref="DB25">IF(ISNUMBER(CR25),INDEX('hyper-reps-lookup-table'!$B$2:$AE$31,CR25,CK25+1)*CJ25*(36/(37-(CR25+CK25))),0)</f>
        <v>0</v>
      </c>
      <c r="DC25" s="24">
        <f t="array" ref="DC25">IF(ISNUMBER(CS25),INDEX('hyper-reps-lookup-table'!$B$2:$AE$31,CS25,CK25+1)*CJ25*(36/(37-(CS25+CK25))),0)</f>
        <v>0</v>
      </c>
      <c r="DD25" s="24">
        <f t="array" ref="DD25">IF(ISNUMBER(CT25),INDEX('hyper-reps-lookup-table'!$B$2:$AE$31,CT25,CK25+1)*CJ25*(36/(37-(CT25+CK25))),0)</f>
        <v>0</v>
      </c>
      <c r="DE25" s="24">
        <f t="array" ref="DE25">IF(ISNUMBER(CU25),INDEX('hyper-reps-lookup-table'!$B$2:$AE$31,CU25,CK25+1)*CJ25*(36/(37-(CU25+CK25))),0)</f>
        <v>0</v>
      </c>
      <c r="DF25" s="55">
        <f t="shared" si="134"/>
        <v>0</v>
      </c>
      <c r="DG25" s="24">
        <f t="shared" si="135"/>
        <v>0</v>
      </c>
      <c r="DH25" s="24">
        <f t="shared" si="136"/>
        <v>0</v>
      </c>
      <c r="DI25" s="24">
        <f t="shared" si="137"/>
        <v>0</v>
      </c>
      <c r="DJ25" s="24">
        <f t="shared" si="138"/>
        <v>0</v>
      </c>
      <c r="DK25" s="24">
        <f t="shared" si="139"/>
        <v>0</v>
      </c>
      <c r="DL25" s="5">
        <f t="shared" si="140"/>
        <v>0</v>
      </c>
      <c r="DM25" s="5">
        <f t="shared" si="141"/>
        <v>0</v>
      </c>
      <c r="DN25" s="24">
        <f t="shared" si="142"/>
        <v>0</v>
      </c>
      <c r="DO25" s="24">
        <f t="shared" si="143"/>
        <v>0</v>
      </c>
      <c r="DP25" s="4" t="str">
        <f t="shared" si="144"/>
        <v>Romanian Deadlift [Trainer+]</v>
      </c>
      <c r="DQ25" s="24"/>
      <c r="DR25" s="24">
        <f t="shared" si="145"/>
        <v>3</v>
      </c>
      <c r="DS25" s="23"/>
      <c r="DT25" s="5">
        <f t="shared" si="146"/>
        <v>0</v>
      </c>
      <c r="DU25" s="5">
        <f t="shared" si="147"/>
        <v>0.5</v>
      </c>
      <c r="DV25" s="23">
        <v>0.0</v>
      </c>
      <c r="DW25" s="56"/>
      <c r="DX25" s="56"/>
      <c r="DY25" s="56"/>
      <c r="DZ25" s="56"/>
      <c r="EA25" s="57"/>
      <c r="EB25" s="57"/>
      <c r="EC25" s="57"/>
      <c r="ED25" s="57"/>
      <c r="EE25" s="57"/>
      <c r="EF25" s="57"/>
      <c r="EG25" s="24">
        <f t="array" ref="EG25">IF(ISNUMBER(DW25),INDEX('hyper-reps-lookup-table'!$B$2:$AE$31,DW25,DV25+1)*DU25*(36/(37-(DW25+DV25))),0)</f>
        <v>0</v>
      </c>
      <c r="EH25" s="24">
        <f t="array" ref="EH25">IF(ISNUMBER(DX25),INDEX('hyper-reps-lookup-table'!$B$2:$AE$31,DX25,DV25+1)*DU25*(36/(37-(DX25+DV25))),0)</f>
        <v>0</v>
      </c>
      <c r="EI25" s="24">
        <f t="array" ref="EI25">IF(ISNUMBER(DY25),INDEX('hyper-reps-lookup-table'!$B$2:$AE$31,DY25,DV25+1)*DU25*(36/(37-(DY25+DV25))),0)</f>
        <v>0</v>
      </c>
      <c r="EJ25" s="24">
        <f t="array" ref="EJ25">IF(ISNUMBER(DZ25),INDEX('hyper-reps-lookup-table'!$B$2:$AE$31,DZ25,DV25+1)*DU25*(36/(37-(DZ25+DV25))),0)</f>
        <v>0</v>
      </c>
      <c r="EK25" s="24">
        <f t="array" ref="EK25">IF(ISNUMBER(EA25),INDEX('hyper-reps-lookup-table'!$B$2:$AE$31,EA25,DV25+1)*DU25*(36/(37-(EA25+DV25))),0)</f>
        <v>0</v>
      </c>
      <c r="EL25" s="24">
        <f t="array" ref="EL25">IF(ISNUMBER(EB25),INDEX('hyper-reps-lookup-table'!$B$2:$AE$31,EB25,DV25+1)*DU25*(36/(37-(EB25+DV25))),0)</f>
        <v>0</v>
      </c>
      <c r="EM25" s="24">
        <f t="array" ref="EM25">IF(ISNUMBER(EC25),INDEX('hyper-reps-lookup-table'!$B$2:$AE$31,EC25,DV25+1)*DU25*(36/(37-(EC25+DV25))),0)</f>
        <v>0</v>
      </c>
      <c r="EN25" s="24">
        <f t="array" ref="EN25">IF(ISNUMBER(ED25),INDEX('hyper-reps-lookup-table'!$B$2:$AE$31,ED25,DV25+1)*DU25*(36/(37-(ED25+DV25))),0)</f>
        <v>0</v>
      </c>
      <c r="EO25" s="24">
        <f t="array" ref="EO25">IF(ISNUMBER(EE25),INDEX('hyper-reps-lookup-table'!$B$2:$AE$31,EE25,DV25+1)*DU25*(36/(37-(EE25+DV25))),0)</f>
        <v>0</v>
      </c>
      <c r="EP25" s="24">
        <f t="array" ref="EP25">IF(ISNUMBER(EF25),INDEX('hyper-reps-lookup-table'!$B$2:$AE$31,EF25,DV25+1)*DU25*(36/(37-(EF25+DV25))),0)</f>
        <v>0</v>
      </c>
      <c r="EQ25" s="55">
        <f t="shared" si="148"/>
        <v>0</v>
      </c>
      <c r="ER25" s="24">
        <f t="shared" si="149"/>
        <v>0</v>
      </c>
      <c r="ES25" s="24">
        <f t="shared" si="150"/>
        <v>0</v>
      </c>
      <c r="ET25" s="24">
        <f t="shared" si="151"/>
        <v>0</v>
      </c>
      <c r="EU25" s="24">
        <f t="shared" si="152"/>
        <v>0</v>
      </c>
      <c r="EV25" s="24">
        <f t="shared" si="153"/>
        <v>0</v>
      </c>
      <c r="EW25" s="5">
        <f t="shared" si="154"/>
        <v>0</v>
      </c>
      <c r="EX25" s="5">
        <f t="shared" si="155"/>
        <v>0</v>
      </c>
      <c r="EY25" s="24">
        <f t="shared" si="156"/>
        <v>0</v>
      </c>
      <c r="EZ25" s="24">
        <f t="shared" si="157"/>
        <v>0</v>
      </c>
      <c r="FA25" s="14"/>
    </row>
    <row r="26">
      <c r="A26" s="34"/>
      <c r="B26" s="27" t="s">
        <v>55</v>
      </c>
      <c r="C26" s="23">
        <v>100.0</v>
      </c>
      <c r="D26" s="29">
        <v>0.75</v>
      </c>
      <c r="E26" s="29">
        <v>0.8</v>
      </c>
      <c r="F26" s="23">
        <v>3.0</v>
      </c>
      <c r="G26" s="33">
        <v>90.0</v>
      </c>
      <c r="H26" s="33">
        <v>2.5</v>
      </c>
      <c r="I26" s="4" t="str">
        <f t="shared" si="106"/>
        <v>Single Leg Extension (RPT) [Unica]</v>
      </c>
      <c r="J26" s="27">
        <f t="shared" si="107"/>
        <v>2</v>
      </c>
      <c r="K26" s="24">
        <f t="shared" si="108"/>
        <v>2</v>
      </c>
      <c r="L26" s="5"/>
      <c r="M26" s="5">
        <f t="shared" si="109"/>
        <v>75</v>
      </c>
      <c r="N26" s="5">
        <f t="shared" si="110"/>
        <v>75</v>
      </c>
      <c r="O26" s="23">
        <v>0.0</v>
      </c>
      <c r="P26" s="23"/>
      <c r="Q26" s="23"/>
      <c r="R26" s="23"/>
      <c r="S26" s="24"/>
      <c r="T26" s="24"/>
      <c r="U26" s="24"/>
      <c r="V26" s="24"/>
      <c r="W26" s="24"/>
      <c r="X26" s="24"/>
      <c r="Y26" s="24"/>
      <c r="Z26" s="24">
        <f t="array" ref="Z26">IF(ISNUMBER(P26),INDEX('hyper-reps-lookup-table'!$B$2:$AE$31,P26,O26+1)*N26*(36/(37-(P26+O26))),0)</f>
        <v>0</v>
      </c>
      <c r="AA26" s="24">
        <f t="array" ref="AA26">IF(ISNUMBER(Q26),INDEX('hyper-reps-lookup-table'!$B$2:$AE$31,Q26,O26+1)*N26*(36/(37-(Q26+O26))),0)</f>
        <v>0</v>
      </c>
      <c r="AB26" s="24">
        <f t="array" ref="AB26">IF(ISNUMBER(R26),INDEX('hyper-reps-lookup-table'!$B$2:$AE$31,R26,O26+1)*N26*(36/(37-(R26+O26))),0)</f>
        <v>0</v>
      </c>
      <c r="AC26" s="24">
        <f t="array" ref="AC26">IF(ISNUMBER(S26),INDEX('hyper-reps-lookup-table'!$B$2:$AE$31,S26,O26+1)*N26*(36/(37-(S26+O26))),0)</f>
        <v>0</v>
      </c>
      <c r="AD26" s="24">
        <f t="array" ref="AD26">IF(ISNUMBER(T26),INDEX('hyper-reps-lookup-table'!$B$2:$AE$31,T26,O26+1)*N26*(36/(37-(T26+O26))),0)</f>
        <v>0</v>
      </c>
      <c r="AE26" s="24">
        <f t="array" ref="AE26">IF(ISNUMBER(U26),INDEX('hyper-reps-lookup-table'!$B$2:$AE$31,U26,O26+1)*N26*(36/(37-(U26+O26))),0)</f>
        <v>0</v>
      </c>
      <c r="AF26" s="24">
        <f t="array" ref="AF26">IF(ISNUMBER(V26),INDEX('hyper-reps-lookup-table'!$B$2:$AE$31,V26,O26+1)*N26*(36/(37-(V26+O26))),0)</f>
        <v>0</v>
      </c>
      <c r="AG26" s="24">
        <f t="array" ref="AG26">IF(ISNUMBER(W26),INDEX('hyper-reps-lookup-table'!$B$2:$AE$31,W26,O26+1)*N26*(36/(37-(W26+O26))),0)</f>
        <v>0</v>
      </c>
      <c r="AH26" s="24">
        <f t="array" ref="AH26">IF(ISNUMBER(X26),INDEX('hyper-reps-lookup-table'!$B$2:$AE$31,X26,O26+1)*N26*(36/(37-(X26+O26))),0)</f>
        <v>0</v>
      </c>
      <c r="AI26" s="24">
        <f t="array" ref="AI26">IF(ISNUMBER(Y26),INDEX('hyper-reps-lookup-table'!$B$2:$AE$31,Y26,O26+1)*N26*(36/(37-(Y26+O26))),0)</f>
        <v>0</v>
      </c>
      <c r="AJ26" s="55">
        <f t="shared" si="111"/>
        <v>0</v>
      </c>
      <c r="AK26" s="24">
        <f t="shared" si="112"/>
        <v>0</v>
      </c>
      <c r="AL26" s="24">
        <f t="shared" si="113"/>
        <v>0</v>
      </c>
      <c r="AM26" s="24">
        <f t="shared" si="114"/>
        <v>0</v>
      </c>
      <c r="AN26" s="24">
        <v>0.0</v>
      </c>
      <c r="AO26" s="24">
        <v>0.0</v>
      </c>
      <c r="AP26" s="5">
        <v>0.0</v>
      </c>
      <c r="AQ26" s="5">
        <v>0.0</v>
      </c>
      <c r="AR26" s="24">
        <v>0.0</v>
      </c>
      <c r="AS26" s="24">
        <v>0.0</v>
      </c>
      <c r="AT26" s="4" t="str">
        <f t="shared" si="115"/>
        <v>Single Leg Extension (RPT) [Unica]</v>
      </c>
      <c r="AU26" s="24">
        <f t="shared" si="116"/>
        <v>3</v>
      </c>
      <c r="AV26" s="24">
        <f t="shared" si="117"/>
        <v>3</v>
      </c>
      <c r="AW26" s="23"/>
      <c r="AX26" s="5">
        <f t="shared" si="118"/>
        <v>0</v>
      </c>
      <c r="AY26" s="5">
        <f t="shared" si="119"/>
        <v>2.5</v>
      </c>
      <c r="AZ26" s="23">
        <v>0.0</v>
      </c>
      <c r="BA26" s="56"/>
      <c r="BB26" s="56"/>
      <c r="BC26" s="56"/>
      <c r="BD26" s="56"/>
      <c r="BE26" s="57"/>
      <c r="BF26" s="57"/>
      <c r="BG26" s="57"/>
      <c r="BH26" s="57"/>
      <c r="BI26" s="57"/>
      <c r="BJ26" s="57"/>
      <c r="BK26" s="24">
        <f t="array" ref="BK26">IF(ISNUMBER(BA26),INDEX('hyper-reps-lookup-table'!$B$2:$AE$31,BA26,AZ26+1)*AY26*(36/(37-(BA26+AZ26))),0)</f>
        <v>0</v>
      </c>
      <c r="BL26" s="24">
        <f t="array" ref="BL26">IF(ISNUMBER(BB26),INDEX('hyper-reps-lookup-table'!$B$2:$AE$31,BB26,AZ26+1)*AY26*(36/(37-(BB26+AZ26))),0)</f>
        <v>0</v>
      </c>
      <c r="BM26" s="24">
        <f t="array" ref="BM26">IF(ISNUMBER(BC26),INDEX('hyper-reps-lookup-table'!$B$2:$AE$31,BC26,AZ26+1)*AY26*(36/(37-(BC26+AZ26))),0)</f>
        <v>0</v>
      </c>
      <c r="BN26" s="24">
        <f t="array" ref="BN26">IF(ISNUMBER(BD26),INDEX('hyper-reps-lookup-table'!$B$2:$AE$31,BD26,AZ26+1)*AY26*(36/(37-(BD26+AZ26))),0)</f>
        <v>0</v>
      </c>
      <c r="BO26" s="24">
        <f t="array" ref="BO26">IF(ISNUMBER(BE26),INDEX('hyper-reps-lookup-table'!$B$2:$AE$31,BE26,AZ26+1)*AY26*(36/(37-(BE26+AZ26))),0)</f>
        <v>0</v>
      </c>
      <c r="BP26" s="24">
        <f t="array" ref="BP26">IF(ISNUMBER(BF26),INDEX('hyper-reps-lookup-table'!$B$2:$AE$31,BF26,AZ26+1)*AY26*(36/(37-(BF26+AZ26))),0)</f>
        <v>0</v>
      </c>
      <c r="BQ26" s="24">
        <f t="array" ref="BQ26">IF(ISNUMBER(BG26),INDEX('hyper-reps-lookup-table'!$B$2:$AE$31,BG26,AZ26+1)*AY26*(36/(37-(BG26+AZ26))),0)</f>
        <v>0</v>
      </c>
      <c r="BR26" s="24">
        <f t="array" ref="BR26">IF(ISNUMBER(BH26),INDEX('hyper-reps-lookup-table'!$B$2:$AE$31,BH26,AZ26+1)*AY26*(36/(37-(BH26+AZ26))),0)</f>
        <v>0</v>
      </c>
      <c r="BS26" s="24">
        <f t="array" ref="BS26">IF(ISNUMBER(BI26),INDEX('hyper-reps-lookup-table'!$B$2:$AE$31,BI26,AZ26+1)*AY26*(36/(37-(BI26+AZ26))),0)</f>
        <v>0</v>
      </c>
      <c r="BT26" s="24">
        <f t="array" ref="BT26">IF(ISNUMBER(BJ26),INDEX('hyper-reps-lookup-table'!$B$2:$AE$31,BJ26,AZ26+1)*AY26*(36/(37-(BJ26+AZ26))),0)</f>
        <v>0</v>
      </c>
      <c r="BU26" s="55">
        <f t="shared" si="120"/>
        <v>0</v>
      </c>
      <c r="BV26" s="24">
        <f t="shared" si="121"/>
        <v>0</v>
      </c>
      <c r="BW26" s="24">
        <f t="shared" si="122"/>
        <v>0</v>
      </c>
      <c r="BX26" s="24">
        <f t="shared" si="123"/>
        <v>0</v>
      </c>
      <c r="BY26" s="24">
        <f t="shared" si="124"/>
        <v>0</v>
      </c>
      <c r="BZ26" s="24">
        <f t="shared" si="125"/>
        <v>0</v>
      </c>
      <c r="CA26" s="5">
        <f t="shared" si="126"/>
        <v>0</v>
      </c>
      <c r="CB26" s="5">
        <f t="shared" si="127"/>
        <v>0</v>
      </c>
      <c r="CC26" s="24">
        <f t="shared" si="128"/>
        <v>0</v>
      </c>
      <c r="CD26" s="24">
        <f t="shared" si="129"/>
        <v>0</v>
      </c>
      <c r="CE26" s="4" t="str">
        <f t="shared" si="130"/>
        <v>Single Leg Extension (RPT) [Unica]</v>
      </c>
      <c r="CF26" s="24"/>
      <c r="CG26" s="24">
        <f t="shared" si="131"/>
        <v>3</v>
      </c>
      <c r="CH26" s="23"/>
      <c r="CI26" s="5">
        <f t="shared" si="132"/>
        <v>0</v>
      </c>
      <c r="CJ26" s="5">
        <f t="shared" si="133"/>
        <v>2.5</v>
      </c>
      <c r="CK26" s="23">
        <v>0.0</v>
      </c>
      <c r="CL26" s="56"/>
      <c r="CM26" s="56"/>
      <c r="CN26" s="56"/>
      <c r="CO26" s="56"/>
      <c r="CP26" s="57"/>
      <c r="CQ26" s="57"/>
      <c r="CR26" s="57"/>
      <c r="CS26" s="57"/>
      <c r="CT26" s="57"/>
      <c r="CU26" s="57"/>
      <c r="CV26" s="24">
        <f t="array" ref="CV26">IF(ISNUMBER(CL26),INDEX('hyper-reps-lookup-table'!$B$2:$AE$31,CL26,CK26+1)*CJ26*(36/(37-(CL26+CK26))),0)</f>
        <v>0</v>
      </c>
      <c r="CW26" s="24">
        <f t="array" ref="CW26">IF(ISNUMBER(CM26),INDEX('hyper-reps-lookup-table'!$B$2:$AE$31,CM26,CK26+1)*CJ26*(36/(37-(CM26+CK26))),0)</f>
        <v>0</v>
      </c>
      <c r="CX26" s="24">
        <f t="array" ref="CX26">IF(ISNUMBER(CN26),INDEX('hyper-reps-lookup-table'!$B$2:$AE$31,CN26,CK26+1)*CJ26*(36/(37-(CN26+CK26))),0)</f>
        <v>0</v>
      </c>
      <c r="CY26" s="24">
        <f t="array" ref="CY26">IF(ISNUMBER(CO26),INDEX('hyper-reps-lookup-table'!$B$2:$AE$31,CO26,CK26+1)*CJ26*(36/(37-(CO26+CK26))),0)</f>
        <v>0</v>
      </c>
      <c r="CZ26" s="24">
        <f t="array" ref="CZ26">IF(ISNUMBER(CP26),INDEX('hyper-reps-lookup-table'!$B$2:$AE$31,CP26,CK26+1)*CJ26*(36/(37-(CP26+CK26))),0)</f>
        <v>0</v>
      </c>
      <c r="DA26" s="24">
        <f t="array" ref="DA26">IF(ISNUMBER(CQ26),INDEX('hyper-reps-lookup-table'!$B$2:$AE$31,CQ26,CK26+1)*CJ26*(36/(37-(CQ26+CK26))),0)</f>
        <v>0</v>
      </c>
      <c r="DB26" s="24">
        <f t="array" ref="DB26">IF(ISNUMBER(CR26),INDEX('hyper-reps-lookup-table'!$B$2:$AE$31,CR26,CK26+1)*CJ26*(36/(37-(CR26+CK26))),0)</f>
        <v>0</v>
      </c>
      <c r="DC26" s="24">
        <f t="array" ref="DC26">IF(ISNUMBER(CS26),INDEX('hyper-reps-lookup-table'!$B$2:$AE$31,CS26,CK26+1)*CJ26*(36/(37-(CS26+CK26))),0)</f>
        <v>0</v>
      </c>
      <c r="DD26" s="24">
        <f t="array" ref="DD26">IF(ISNUMBER(CT26),INDEX('hyper-reps-lookup-table'!$B$2:$AE$31,CT26,CK26+1)*CJ26*(36/(37-(CT26+CK26))),0)</f>
        <v>0</v>
      </c>
      <c r="DE26" s="24">
        <f t="array" ref="DE26">IF(ISNUMBER(CU26),INDEX('hyper-reps-lookup-table'!$B$2:$AE$31,CU26,CK26+1)*CJ26*(36/(37-(CU26+CK26))),0)</f>
        <v>0</v>
      </c>
      <c r="DF26" s="55">
        <f t="shared" si="134"/>
        <v>0</v>
      </c>
      <c r="DG26" s="24">
        <f t="shared" si="135"/>
        <v>0</v>
      </c>
      <c r="DH26" s="24">
        <f t="shared" si="136"/>
        <v>0</v>
      </c>
      <c r="DI26" s="24">
        <f t="shared" si="137"/>
        <v>0</v>
      </c>
      <c r="DJ26" s="24">
        <f t="shared" si="138"/>
        <v>0</v>
      </c>
      <c r="DK26" s="24">
        <f t="shared" si="139"/>
        <v>0</v>
      </c>
      <c r="DL26" s="5">
        <f t="shared" si="140"/>
        <v>0</v>
      </c>
      <c r="DM26" s="5">
        <f t="shared" si="141"/>
        <v>0</v>
      </c>
      <c r="DN26" s="24">
        <f t="shared" si="142"/>
        <v>0</v>
      </c>
      <c r="DO26" s="24">
        <f t="shared" si="143"/>
        <v>0</v>
      </c>
      <c r="DP26" s="4" t="str">
        <f t="shared" si="144"/>
        <v>Single Leg Extension (RPT) [Unica]</v>
      </c>
      <c r="DQ26" s="24"/>
      <c r="DR26" s="24">
        <f t="shared" si="145"/>
        <v>3</v>
      </c>
      <c r="DS26" s="23"/>
      <c r="DT26" s="5">
        <f t="shared" si="146"/>
        <v>0</v>
      </c>
      <c r="DU26" s="5">
        <f t="shared" si="147"/>
        <v>2.5</v>
      </c>
      <c r="DV26" s="23">
        <v>0.0</v>
      </c>
      <c r="DW26" s="56"/>
      <c r="DX26" s="56"/>
      <c r="DY26" s="56"/>
      <c r="DZ26" s="56"/>
      <c r="EA26" s="57"/>
      <c r="EB26" s="57"/>
      <c r="EC26" s="57"/>
      <c r="ED26" s="57"/>
      <c r="EE26" s="57"/>
      <c r="EF26" s="57"/>
      <c r="EG26" s="24">
        <f t="array" ref="EG26">IF(ISNUMBER(DW26),INDEX('hyper-reps-lookup-table'!$B$2:$AE$31,DW26,DV26+1)*DU26*(36/(37-(DW26+DV26))),0)</f>
        <v>0</v>
      </c>
      <c r="EH26" s="24">
        <f t="array" ref="EH26">IF(ISNUMBER(DX26),INDEX('hyper-reps-lookup-table'!$B$2:$AE$31,DX26,DV26+1)*DU26*(36/(37-(DX26+DV26))),0)</f>
        <v>0</v>
      </c>
      <c r="EI26" s="24">
        <f t="array" ref="EI26">IF(ISNUMBER(DY26),INDEX('hyper-reps-lookup-table'!$B$2:$AE$31,DY26,DV26+1)*DU26*(36/(37-(DY26+DV26))),0)</f>
        <v>0</v>
      </c>
      <c r="EJ26" s="24">
        <f t="array" ref="EJ26">IF(ISNUMBER(DZ26),INDEX('hyper-reps-lookup-table'!$B$2:$AE$31,DZ26,DV26+1)*DU26*(36/(37-(DZ26+DV26))),0)</f>
        <v>0</v>
      </c>
      <c r="EK26" s="24">
        <f t="array" ref="EK26">IF(ISNUMBER(EA26),INDEX('hyper-reps-lookup-table'!$B$2:$AE$31,EA26,DV26+1)*DU26*(36/(37-(EA26+DV26))),0)</f>
        <v>0</v>
      </c>
      <c r="EL26" s="24">
        <f t="array" ref="EL26">IF(ISNUMBER(EB26),INDEX('hyper-reps-lookup-table'!$B$2:$AE$31,EB26,DV26+1)*DU26*(36/(37-(EB26+DV26))),0)</f>
        <v>0</v>
      </c>
      <c r="EM26" s="24">
        <f t="array" ref="EM26">IF(ISNUMBER(EC26),INDEX('hyper-reps-lookup-table'!$B$2:$AE$31,EC26,DV26+1)*DU26*(36/(37-(EC26+DV26))),0)</f>
        <v>0</v>
      </c>
      <c r="EN26" s="24">
        <f t="array" ref="EN26">IF(ISNUMBER(ED26),INDEX('hyper-reps-lookup-table'!$B$2:$AE$31,ED26,DV26+1)*DU26*(36/(37-(ED26+DV26))),0)</f>
        <v>0</v>
      </c>
      <c r="EO26" s="24">
        <f t="array" ref="EO26">IF(ISNUMBER(EE26),INDEX('hyper-reps-lookup-table'!$B$2:$AE$31,EE26,DV26+1)*DU26*(36/(37-(EE26+DV26))),0)</f>
        <v>0</v>
      </c>
      <c r="EP26" s="24">
        <f t="array" ref="EP26">IF(ISNUMBER(EF26),INDEX('hyper-reps-lookup-table'!$B$2:$AE$31,EF26,DV26+1)*DU26*(36/(37-(EF26+DV26))),0)</f>
        <v>0</v>
      </c>
      <c r="EQ26" s="55">
        <f t="shared" si="148"/>
        <v>0</v>
      </c>
      <c r="ER26" s="24">
        <f t="shared" si="149"/>
        <v>0</v>
      </c>
      <c r="ES26" s="24">
        <f t="shared" si="150"/>
        <v>0</v>
      </c>
      <c r="ET26" s="24">
        <f t="shared" si="151"/>
        <v>0</v>
      </c>
      <c r="EU26" s="24">
        <f t="shared" si="152"/>
        <v>0</v>
      </c>
      <c r="EV26" s="24">
        <f t="shared" si="153"/>
        <v>0</v>
      </c>
      <c r="EW26" s="5">
        <f t="shared" si="154"/>
        <v>0</v>
      </c>
      <c r="EX26" s="5">
        <f t="shared" si="155"/>
        <v>0</v>
      </c>
      <c r="EY26" s="24">
        <f t="shared" si="156"/>
        <v>0</v>
      </c>
      <c r="EZ26" s="24">
        <f t="shared" si="157"/>
        <v>0</v>
      </c>
      <c r="FA26" s="14"/>
    </row>
    <row r="27">
      <c r="A27" s="34"/>
      <c r="B27" s="27" t="s">
        <v>56</v>
      </c>
      <c r="C27" s="23">
        <v>100.0</v>
      </c>
      <c r="D27" s="29">
        <v>0.75</v>
      </c>
      <c r="E27" s="29">
        <v>0.8</v>
      </c>
      <c r="F27" s="23">
        <v>3.0</v>
      </c>
      <c r="G27" s="33">
        <v>90.0</v>
      </c>
      <c r="H27" s="33">
        <v>2.5</v>
      </c>
      <c r="I27" s="4" t="str">
        <f t="shared" si="106"/>
        <v>Single Leg Curl (RPT) [Unica]</v>
      </c>
      <c r="J27" s="27">
        <f t="shared" si="107"/>
        <v>2</v>
      </c>
      <c r="K27" s="24">
        <f t="shared" si="108"/>
        <v>2</v>
      </c>
      <c r="L27" s="5"/>
      <c r="M27" s="5">
        <f t="shared" si="109"/>
        <v>75</v>
      </c>
      <c r="N27" s="5">
        <f t="shared" si="110"/>
        <v>75</v>
      </c>
      <c r="O27" s="23">
        <v>0.0</v>
      </c>
      <c r="P27" s="23"/>
      <c r="Q27" s="23"/>
      <c r="R27" s="23"/>
      <c r="S27" s="24"/>
      <c r="T27" s="24"/>
      <c r="U27" s="24"/>
      <c r="V27" s="24"/>
      <c r="W27" s="24"/>
      <c r="X27" s="24"/>
      <c r="Y27" s="24"/>
      <c r="Z27" s="24">
        <f t="array" ref="Z27">IF(ISNUMBER(P27),INDEX('hyper-reps-lookup-table'!$B$2:$AE$31,P27,O27+1)*N27*(36/(37-(P27+O27))),0)</f>
        <v>0</v>
      </c>
      <c r="AA27" s="24">
        <f t="array" ref="AA27">IF(ISNUMBER(Q27),INDEX('hyper-reps-lookup-table'!$B$2:$AE$31,Q27,O27+1)*N27*(36/(37-(Q27+O27))),0)</f>
        <v>0</v>
      </c>
      <c r="AB27" s="24">
        <f t="array" ref="AB27">IF(ISNUMBER(R27),INDEX('hyper-reps-lookup-table'!$B$2:$AE$31,R27,O27+1)*N27*(36/(37-(R27+O27))),0)</f>
        <v>0</v>
      </c>
      <c r="AC27" s="24">
        <f t="array" ref="AC27">IF(ISNUMBER(S27),INDEX('hyper-reps-lookup-table'!$B$2:$AE$31,S27,O27+1)*N27*(36/(37-(S27+O27))),0)</f>
        <v>0</v>
      </c>
      <c r="AD27" s="24">
        <f t="array" ref="AD27">IF(ISNUMBER(T27),INDEX('hyper-reps-lookup-table'!$B$2:$AE$31,T27,O27+1)*N27*(36/(37-(T27+O27))),0)</f>
        <v>0</v>
      </c>
      <c r="AE27" s="24">
        <f t="array" ref="AE27">IF(ISNUMBER(U27),INDEX('hyper-reps-lookup-table'!$B$2:$AE$31,U27,O27+1)*N27*(36/(37-(U27+O27))),0)</f>
        <v>0</v>
      </c>
      <c r="AF27" s="24">
        <f t="array" ref="AF27">IF(ISNUMBER(V27),INDEX('hyper-reps-lookup-table'!$B$2:$AE$31,V27,O27+1)*N27*(36/(37-(V27+O27))),0)</f>
        <v>0</v>
      </c>
      <c r="AG27" s="24">
        <f t="array" ref="AG27">IF(ISNUMBER(W27),INDEX('hyper-reps-lookup-table'!$B$2:$AE$31,W27,O27+1)*N27*(36/(37-(W27+O27))),0)</f>
        <v>0</v>
      </c>
      <c r="AH27" s="24">
        <f t="array" ref="AH27">IF(ISNUMBER(X27),INDEX('hyper-reps-lookup-table'!$B$2:$AE$31,X27,O27+1)*N27*(36/(37-(X27+O27))),0)</f>
        <v>0</v>
      </c>
      <c r="AI27" s="24">
        <f t="array" ref="AI27">IF(ISNUMBER(Y27),INDEX('hyper-reps-lookup-table'!$B$2:$AE$31,Y27,O27+1)*N27*(36/(37-(Y27+O27))),0)</f>
        <v>0</v>
      </c>
      <c r="AJ27" s="55">
        <f t="shared" si="111"/>
        <v>0</v>
      </c>
      <c r="AK27" s="24">
        <f t="shared" si="112"/>
        <v>0</v>
      </c>
      <c r="AL27" s="24">
        <f t="shared" si="113"/>
        <v>0</v>
      </c>
      <c r="AM27" s="24">
        <f t="shared" si="114"/>
        <v>0</v>
      </c>
      <c r="AN27" s="24">
        <v>0.0</v>
      </c>
      <c r="AO27" s="24">
        <v>0.0</v>
      </c>
      <c r="AP27" s="5">
        <v>0.0</v>
      </c>
      <c r="AQ27" s="5">
        <v>0.0</v>
      </c>
      <c r="AR27" s="24">
        <v>0.0</v>
      </c>
      <c r="AS27" s="24">
        <v>0.0</v>
      </c>
      <c r="AT27" s="4" t="str">
        <f t="shared" si="115"/>
        <v>Single Leg Curl (RPT) [Unica]</v>
      </c>
      <c r="AU27" s="24">
        <f t="shared" si="116"/>
        <v>3</v>
      </c>
      <c r="AV27" s="24">
        <f t="shared" si="117"/>
        <v>3</v>
      </c>
      <c r="AW27" s="23"/>
      <c r="AX27" s="5">
        <f t="shared" si="118"/>
        <v>0</v>
      </c>
      <c r="AY27" s="5">
        <f t="shared" si="119"/>
        <v>2.5</v>
      </c>
      <c r="AZ27" s="23">
        <v>0.0</v>
      </c>
      <c r="BA27" s="56"/>
      <c r="BB27" s="56"/>
      <c r="BC27" s="56"/>
      <c r="BD27" s="56"/>
      <c r="BE27" s="57"/>
      <c r="BF27" s="57"/>
      <c r="BG27" s="57"/>
      <c r="BH27" s="57"/>
      <c r="BI27" s="57"/>
      <c r="BJ27" s="57"/>
      <c r="BK27" s="24">
        <f t="array" ref="BK27">IF(ISNUMBER(BA27),INDEX('hyper-reps-lookup-table'!$B$2:$AE$31,BA27,AZ27+1)*AY27*(36/(37-(BA27+AZ27))),0)</f>
        <v>0</v>
      </c>
      <c r="BL27" s="24">
        <f t="array" ref="BL27">IF(ISNUMBER(BB27),INDEX('hyper-reps-lookup-table'!$B$2:$AE$31,BB27,AZ27+1)*AY27*(36/(37-(BB27+AZ27))),0)</f>
        <v>0</v>
      </c>
      <c r="BM27" s="24">
        <f t="array" ref="BM27">IF(ISNUMBER(BC27),INDEX('hyper-reps-lookup-table'!$B$2:$AE$31,BC27,AZ27+1)*AY27*(36/(37-(BC27+AZ27))),0)</f>
        <v>0</v>
      </c>
      <c r="BN27" s="24">
        <f t="array" ref="BN27">IF(ISNUMBER(BD27),INDEX('hyper-reps-lookup-table'!$B$2:$AE$31,BD27,AZ27+1)*AY27*(36/(37-(BD27+AZ27))),0)</f>
        <v>0</v>
      </c>
      <c r="BO27" s="24">
        <f t="array" ref="BO27">IF(ISNUMBER(BE27),INDEX('hyper-reps-lookup-table'!$B$2:$AE$31,BE27,AZ27+1)*AY27*(36/(37-(BE27+AZ27))),0)</f>
        <v>0</v>
      </c>
      <c r="BP27" s="24">
        <f t="array" ref="BP27">IF(ISNUMBER(BF27),INDEX('hyper-reps-lookup-table'!$B$2:$AE$31,BF27,AZ27+1)*AY27*(36/(37-(BF27+AZ27))),0)</f>
        <v>0</v>
      </c>
      <c r="BQ27" s="24">
        <f t="array" ref="BQ27">IF(ISNUMBER(BG27),INDEX('hyper-reps-lookup-table'!$B$2:$AE$31,BG27,AZ27+1)*AY27*(36/(37-(BG27+AZ27))),0)</f>
        <v>0</v>
      </c>
      <c r="BR27" s="24">
        <f t="array" ref="BR27">IF(ISNUMBER(BH27),INDEX('hyper-reps-lookup-table'!$B$2:$AE$31,BH27,AZ27+1)*AY27*(36/(37-(BH27+AZ27))),0)</f>
        <v>0</v>
      </c>
      <c r="BS27" s="24">
        <f t="array" ref="BS27">IF(ISNUMBER(BI27),INDEX('hyper-reps-lookup-table'!$B$2:$AE$31,BI27,AZ27+1)*AY27*(36/(37-(BI27+AZ27))),0)</f>
        <v>0</v>
      </c>
      <c r="BT27" s="24">
        <f t="array" ref="BT27">IF(ISNUMBER(BJ27),INDEX('hyper-reps-lookup-table'!$B$2:$AE$31,BJ27,AZ27+1)*AY27*(36/(37-(BJ27+AZ27))),0)</f>
        <v>0</v>
      </c>
      <c r="BU27" s="55">
        <f t="shared" si="120"/>
        <v>0</v>
      </c>
      <c r="BV27" s="24">
        <f t="shared" si="121"/>
        <v>0</v>
      </c>
      <c r="BW27" s="24">
        <f t="shared" si="122"/>
        <v>0</v>
      </c>
      <c r="BX27" s="24">
        <f t="shared" si="123"/>
        <v>0</v>
      </c>
      <c r="BY27" s="24">
        <f t="shared" si="124"/>
        <v>0</v>
      </c>
      <c r="BZ27" s="24">
        <f t="shared" si="125"/>
        <v>0</v>
      </c>
      <c r="CA27" s="5">
        <f t="shared" si="126"/>
        <v>0</v>
      </c>
      <c r="CB27" s="5">
        <f t="shared" si="127"/>
        <v>0</v>
      </c>
      <c r="CC27" s="24">
        <f t="shared" si="128"/>
        <v>0</v>
      </c>
      <c r="CD27" s="24">
        <f t="shared" si="129"/>
        <v>0</v>
      </c>
      <c r="CE27" s="4" t="str">
        <f t="shared" si="130"/>
        <v>Single Leg Curl (RPT) [Unica]</v>
      </c>
      <c r="CF27" s="24"/>
      <c r="CG27" s="24">
        <f t="shared" si="131"/>
        <v>3</v>
      </c>
      <c r="CH27" s="23"/>
      <c r="CI27" s="5">
        <f t="shared" si="132"/>
        <v>0</v>
      </c>
      <c r="CJ27" s="5">
        <f t="shared" si="133"/>
        <v>2.5</v>
      </c>
      <c r="CK27" s="23">
        <v>0.0</v>
      </c>
      <c r="CL27" s="56"/>
      <c r="CM27" s="56"/>
      <c r="CN27" s="56"/>
      <c r="CO27" s="56"/>
      <c r="CP27" s="57"/>
      <c r="CQ27" s="57"/>
      <c r="CR27" s="57"/>
      <c r="CS27" s="57"/>
      <c r="CT27" s="57"/>
      <c r="CU27" s="57"/>
      <c r="CV27" s="24">
        <f t="array" ref="CV27">IF(ISNUMBER(CL27),INDEX('hyper-reps-lookup-table'!$B$2:$AE$31,CL27,CK27+1)*CJ27*(36/(37-(CL27+CK27))),0)</f>
        <v>0</v>
      </c>
      <c r="CW27" s="24">
        <f t="array" ref="CW27">IF(ISNUMBER(CM27),INDEX('hyper-reps-lookup-table'!$B$2:$AE$31,CM27,CK27+1)*CJ27*(36/(37-(CM27+CK27))),0)</f>
        <v>0</v>
      </c>
      <c r="CX27" s="24">
        <f t="array" ref="CX27">IF(ISNUMBER(CN27),INDEX('hyper-reps-lookup-table'!$B$2:$AE$31,CN27,CK27+1)*CJ27*(36/(37-(CN27+CK27))),0)</f>
        <v>0</v>
      </c>
      <c r="CY27" s="24">
        <f t="array" ref="CY27">IF(ISNUMBER(CO27),INDEX('hyper-reps-lookup-table'!$B$2:$AE$31,CO27,CK27+1)*CJ27*(36/(37-(CO27+CK27))),0)</f>
        <v>0</v>
      </c>
      <c r="CZ27" s="24">
        <f t="array" ref="CZ27">IF(ISNUMBER(CP27),INDEX('hyper-reps-lookup-table'!$B$2:$AE$31,CP27,CK27+1)*CJ27*(36/(37-(CP27+CK27))),0)</f>
        <v>0</v>
      </c>
      <c r="DA27" s="24">
        <f t="array" ref="DA27">IF(ISNUMBER(CQ27),INDEX('hyper-reps-lookup-table'!$B$2:$AE$31,CQ27,CK27+1)*CJ27*(36/(37-(CQ27+CK27))),0)</f>
        <v>0</v>
      </c>
      <c r="DB27" s="24">
        <f t="array" ref="DB27">IF(ISNUMBER(CR27),INDEX('hyper-reps-lookup-table'!$B$2:$AE$31,CR27,CK27+1)*CJ27*(36/(37-(CR27+CK27))),0)</f>
        <v>0</v>
      </c>
      <c r="DC27" s="24">
        <f t="array" ref="DC27">IF(ISNUMBER(CS27),INDEX('hyper-reps-lookup-table'!$B$2:$AE$31,CS27,CK27+1)*CJ27*(36/(37-(CS27+CK27))),0)</f>
        <v>0</v>
      </c>
      <c r="DD27" s="24">
        <f t="array" ref="DD27">IF(ISNUMBER(CT27),INDEX('hyper-reps-lookup-table'!$B$2:$AE$31,CT27,CK27+1)*CJ27*(36/(37-(CT27+CK27))),0)</f>
        <v>0</v>
      </c>
      <c r="DE27" s="24">
        <f t="array" ref="DE27">IF(ISNUMBER(CU27),INDEX('hyper-reps-lookup-table'!$B$2:$AE$31,CU27,CK27+1)*CJ27*(36/(37-(CU27+CK27))),0)</f>
        <v>0</v>
      </c>
      <c r="DF27" s="55">
        <f t="shared" si="134"/>
        <v>0</v>
      </c>
      <c r="DG27" s="24">
        <f t="shared" si="135"/>
        <v>0</v>
      </c>
      <c r="DH27" s="24">
        <f t="shared" si="136"/>
        <v>0</v>
      </c>
      <c r="DI27" s="24">
        <f t="shared" si="137"/>
        <v>0</v>
      </c>
      <c r="DJ27" s="24">
        <f t="shared" si="138"/>
        <v>0</v>
      </c>
      <c r="DK27" s="24">
        <f t="shared" si="139"/>
        <v>0</v>
      </c>
      <c r="DL27" s="5">
        <f t="shared" si="140"/>
        <v>0</v>
      </c>
      <c r="DM27" s="5">
        <f t="shared" si="141"/>
        <v>0</v>
      </c>
      <c r="DN27" s="24">
        <f t="shared" si="142"/>
        <v>0</v>
      </c>
      <c r="DO27" s="24">
        <f t="shared" si="143"/>
        <v>0</v>
      </c>
      <c r="DP27" s="4" t="str">
        <f t="shared" si="144"/>
        <v>Single Leg Curl (RPT) [Unica]</v>
      </c>
      <c r="DQ27" s="24"/>
      <c r="DR27" s="24">
        <f t="shared" si="145"/>
        <v>3</v>
      </c>
      <c r="DS27" s="23"/>
      <c r="DT27" s="5">
        <f t="shared" si="146"/>
        <v>0</v>
      </c>
      <c r="DU27" s="5">
        <f t="shared" si="147"/>
        <v>2.5</v>
      </c>
      <c r="DV27" s="23">
        <v>0.0</v>
      </c>
      <c r="DW27" s="56"/>
      <c r="DX27" s="56"/>
      <c r="DY27" s="56"/>
      <c r="DZ27" s="56"/>
      <c r="EA27" s="57"/>
      <c r="EB27" s="57"/>
      <c r="EC27" s="57"/>
      <c r="ED27" s="57"/>
      <c r="EE27" s="57"/>
      <c r="EF27" s="57"/>
      <c r="EG27" s="24">
        <f t="array" ref="EG27">IF(ISNUMBER(DW27),INDEX('hyper-reps-lookup-table'!$B$2:$AE$31,DW27,DV27+1)*DU27*(36/(37-(DW27+DV27))),0)</f>
        <v>0</v>
      </c>
      <c r="EH27" s="24">
        <f t="array" ref="EH27">IF(ISNUMBER(DX27),INDEX('hyper-reps-lookup-table'!$B$2:$AE$31,DX27,DV27+1)*DU27*(36/(37-(DX27+DV27))),0)</f>
        <v>0</v>
      </c>
      <c r="EI27" s="24">
        <f t="array" ref="EI27">IF(ISNUMBER(DY27),INDEX('hyper-reps-lookup-table'!$B$2:$AE$31,DY27,DV27+1)*DU27*(36/(37-(DY27+DV27))),0)</f>
        <v>0</v>
      </c>
      <c r="EJ27" s="24">
        <f t="array" ref="EJ27">IF(ISNUMBER(DZ27),INDEX('hyper-reps-lookup-table'!$B$2:$AE$31,DZ27,DV27+1)*DU27*(36/(37-(DZ27+DV27))),0)</f>
        <v>0</v>
      </c>
      <c r="EK27" s="24">
        <f t="array" ref="EK27">IF(ISNUMBER(EA27),INDEX('hyper-reps-lookup-table'!$B$2:$AE$31,EA27,DV27+1)*DU27*(36/(37-(EA27+DV27))),0)</f>
        <v>0</v>
      </c>
      <c r="EL27" s="24">
        <f t="array" ref="EL27">IF(ISNUMBER(EB27),INDEX('hyper-reps-lookup-table'!$B$2:$AE$31,EB27,DV27+1)*DU27*(36/(37-(EB27+DV27))),0)</f>
        <v>0</v>
      </c>
      <c r="EM27" s="24">
        <f t="array" ref="EM27">IF(ISNUMBER(EC27),INDEX('hyper-reps-lookup-table'!$B$2:$AE$31,EC27,DV27+1)*DU27*(36/(37-(EC27+DV27))),0)</f>
        <v>0</v>
      </c>
      <c r="EN27" s="24">
        <f t="array" ref="EN27">IF(ISNUMBER(ED27),INDEX('hyper-reps-lookup-table'!$B$2:$AE$31,ED27,DV27+1)*DU27*(36/(37-(ED27+DV27))),0)</f>
        <v>0</v>
      </c>
      <c r="EO27" s="24">
        <f t="array" ref="EO27">IF(ISNUMBER(EE27),INDEX('hyper-reps-lookup-table'!$B$2:$AE$31,EE27,DV27+1)*DU27*(36/(37-(EE27+DV27))),0)</f>
        <v>0</v>
      </c>
      <c r="EP27" s="24">
        <f t="array" ref="EP27">IF(ISNUMBER(EF27),INDEX('hyper-reps-lookup-table'!$B$2:$AE$31,EF27,DV27+1)*DU27*(36/(37-(EF27+DV27))),0)</f>
        <v>0</v>
      </c>
      <c r="EQ27" s="55">
        <f t="shared" si="148"/>
        <v>0</v>
      </c>
      <c r="ER27" s="24">
        <f t="shared" si="149"/>
        <v>0</v>
      </c>
      <c r="ES27" s="24">
        <f t="shared" si="150"/>
        <v>0</v>
      </c>
      <c r="ET27" s="24">
        <f t="shared" si="151"/>
        <v>0</v>
      </c>
      <c r="EU27" s="24">
        <f t="shared" si="152"/>
        <v>0</v>
      </c>
      <c r="EV27" s="24">
        <f t="shared" si="153"/>
        <v>0</v>
      </c>
      <c r="EW27" s="5">
        <f t="shared" si="154"/>
        <v>0</v>
      </c>
      <c r="EX27" s="5">
        <f t="shared" si="155"/>
        <v>0</v>
      </c>
      <c r="EY27" s="24">
        <f t="shared" si="156"/>
        <v>0</v>
      </c>
      <c r="EZ27" s="24">
        <f t="shared" si="157"/>
        <v>0</v>
      </c>
      <c r="FA27" s="14"/>
    </row>
    <row r="28">
      <c r="A28" s="34"/>
      <c r="B28" s="3"/>
      <c r="C28" s="3"/>
      <c r="D28" s="3"/>
      <c r="E28" s="3"/>
      <c r="F28" s="3"/>
      <c r="G28" s="3"/>
      <c r="H28" s="3"/>
      <c r="I28" s="46" t="str">
        <f>I3</f>
        <v>Week 1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8"/>
      <c r="AT28" s="46" t="str">
        <f>AT21</f>
        <v>Week 2</v>
      </c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8"/>
      <c r="CE28" s="46" t="str">
        <f>CE21</f>
        <v>Week 3</v>
      </c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8"/>
      <c r="DP28" s="46" t="str">
        <f>DP21</f>
        <v>Week 4</v>
      </c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8"/>
      <c r="FA28" s="47"/>
    </row>
    <row r="29">
      <c r="A29" s="34"/>
      <c r="B29" s="3"/>
      <c r="C29" s="3"/>
      <c r="D29" s="3"/>
      <c r="E29" s="3"/>
      <c r="F29" s="3"/>
      <c r="G29" s="3"/>
      <c r="H29" s="3"/>
      <c r="I29" s="18" t="s">
        <v>1</v>
      </c>
      <c r="J29" s="18" t="s">
        <v>32</v>
      </c>
      <c r="K29" s="18" t="s">
        <v>2</v>
      </c>
      <c r="L29" s="48" t="s">
        <v>33</v>
      </c>
      <c r="M29" s="18" t="s">
        <v>34</v>
      </c>
      <c r="N29" s="18" t="s">
        <v>3</v>
      </c>
      <c r="O29" s="18" t="s">
        <v>35</v>
      </c>
      <c r="P29" s="49" t="s">
        <v>36</v>
      </c>
      <c r="Q29" s="7"/>
      <c r="R29" s="7"/>
      <c r="S29" s="7"/>
      <c r="T29" s="7"/>
      <c r="U29" s="7"/>
      <c r="V29" s="7"/>
      <c r="W29" s="7"/>
      <c r="X29" s="7"/>
      <c r="Y29" s="8"/>
      <c r="Z29" s="49" t="s">
        <v>6</v>
      </c>
      <c r="AA29" s="7"/>
      <c r="AB29" s="7"/>
      <c r="AC29" s="7"/>
      <c r="AD29" s="7"/>
      <c r="AE29" s="7"/>
      <c r="AF29" s="7"/>
      <c r="AG29" s="7"/>
      <c r="AH29" s="7"/>
      <c r="AI29" s="8"/>
      <c r="AJ29" s="50" t="s">
        <v>37</v>
      </c>
      <c r="AK29" s="50" t="s">
        <v>38</v>
      </c>
      <c r="AL29" s="50" t="s">
        <v>39</v>
      </c>
      <c r="AM29" s="50" t="s">
        <v>6</v>
      </c>
      <c r="AN29" s="50" t="s">
        <v>40</v>
      </c>
      <c r="AO29" s="50" t="s">
        <v>41</v>
      </c>
      <c r="AP29" s="48" t="s">
        <v>42</v>
      </c>
      <c r="AQ29" s="48" t="s">
        <v>43</v>
      </c>
      <c r="AR29" s="50" t="s">
        <v>44</v>
      </c>
      <c r="AS29" s="50" t="s">
        <v>45</v>
      </c>
      <c r="AT29" s="18" t="s">
        <v>1</v>
      </c>
      <c r="AU29" s="18" t="s">
        <v>32</v>
      </c>
      <c r="AV29" s="18" t="s">
        <v>2</v>
      </c>
      <c r="AW29" s="18" t="s">
        <v>33</v>
      </c>
      <c r="AX29" s="48" t="s">
        <v>34</v>
      </c>
      <c r="AY29" s="18" t="s">
        <v>3</v>
      </c>
      <c r="AZ29" s="18" t="s">
        <v>35</v>
      </c>
      <c r="BA29" s="51" t="s">
        <v>36</v>
      </c>
      <c r="BB29" s="7"/>
      <c r="BC29" s="7"/>
      <c r="BD29" s="7"/>
      <c r="BE29" s="7"/>
      <c r="BF29" s="7"/>
      <c r="BG29" s="7"/>
      <c r="BH29" s="7"/>
      <c r="BI29" s="7"/>
      <c r="BJ29" s="8"/>
      <c r="BK29" s="49" t="s">
        <v>6</v>
      </c>
      <c r="BL29" s="7"/>
      <c r="BM29" s="7"/>
      <c r="BN29" s="7"/>
      <c r="BO29" s="7"/>
      <c r="BP29" s="7"/>
      <c r="BQ29" s="7"/>
      <c r="BR29" s="7"/>
      <c r="BS29" s="7"/>
      <c r="BT29" s="8"/>
      <c r="BU29" s="50" t="s">
        <v>37</v>
      </c>
      <c r="BV29" s="50" t="s">
        <v>38</v>
      </c>
      <c r="BW29" s="50" t="s">
        <v>39</v>
      </c>
      <c r="BX29" s="50" t="s">
        <v>6</v>
      </c>
      <c r="BY29" s="50" t="s">
        <v>40</v>
      </c>
      <c r="BZ29" s="50" t="s">
        <v>41</v>
      </c>
      <c r="CA29" s="48" t="s">
        <v>42</v>
      </c>
      <c r="CB29" s="48" t="s">
        <v>43</v>
      </c>
      <c r="CC29" s="50" t="s">
        <v>44</v>
      </c>
      <c r="CD29" s="50" t="s">
        <v>45</v>
      </c>
      <c r="CE29" s="18" t="s">
        <v>1</v>
      </c>
      <c r="CF29" s="18" t="s">
        <v>32</v>
      </c>
      <c r="CG29" s="18" t="s">
        <v>2</v>
      </c>
      <c r="CH29" s="18" t="s">
        <v>33</v>
      </c>
      <c r="CI29" s="48" t="s">
        <v>34</v>
      </c>
      <c r="CJ29" s="18" t="s">
        <v>3</v>
      </c>
      <c r="CK29" s="18" t="s">
        <v>35</v>
      </c>
      <c r="CL29" s="51" t="s">
        <v>36</v>
      </c>
      <c r="CM29" s="7"/>
      <c r="CN29" s="7"/>
      <c r="CO29" s="7"/>
      <c r="CP29" s="7"/>
      <c r="CQ29" s="7"/>
      <c r="CR29" s="7"/>
      <c r="CS29" s="7"/>
      <c r="CT29" s="7"/>
      <c r="CU29" s="8"/>
      <c r="CV29" s="49" t="s">
        <v>6</v>
      </c>
      <c r="CW29" s="7"/>
      <c r="CX29" s="7"/>
      <c r="CY29" s="7"/>
      <c r="CZ29" s="7"/>
      <c r="DA29" s="7"/>
      <c r="DB29" s="7"/>
      <c r="DC29" s="7"/>
      <c r="DD29" s="7"/>
      <c r="DE29" s="8"/>
      <c r="DF29" s="50" t="s">
        <v>37</v>
      </c>
      <c r="DG29" s="50" t="s">
        <v>38</v>
      </c>
      <c r="DH29" s="50" t="s">
        <v>39</v>
      </c>
      <c r="DI29" s="50" t="s">
        <v>6</v>
      </c>
      <c r="DJ29" s="50" t="s">
        <v>40</v>
      </c>
      <c r="DK29" s="50" t="s">
        <v>41</v>
      </c>
      <c r="DL29" s="48" t="s">
        <v>42</v>
      </c>
      <c r="DM29" s="48" t="s">
        <v>43</v>
      </c>
      <c r="DN29" s="50" t="s">
        <v>44</v>
      </c>
      <c r="DO29" s="50" t="s">
        <v>45</v>
      </c>
      <c r="DP29" s="18" t="s">
        <v>1</v>
      </c>
      <c r="DQ29" s="18" t="s">
        <v>32</v>
      </c>
      <c r="DR29" s="18" t="s">
        <v>2</v>
      </c>
      <c r="DS29" s="18" t="s">
        <v>33</v>
      </c>
      <c r="DT29" s="48" t="s">
        <v>34</v>
      </c>
      <c r="DU29" s="18" t="s">
        <v>3</v>
      </c>
      <c r="DV29" s="18" t="s">
        <v>35</v>
      </c>
      <c r="DW29" s="51" t="s">
        <v>36</v>
      </c>
      <c r="DX29" s="7"/>
      <c r="DY29" s="7"/>
      <c r="DZ29" s="7"/>
      <c r="EA29" s="7"/>
      <c r="EB29" s="7"/>
      <c r="EC29" s="7"/>
      <c r="ED29" s="7"/>
      <c r="EE29" s="7"/>
      <c r="EF29" s="8"/>
      <c r="EG29" s="49" t="s">
        <v>6</v>
      </c>
      <c r="EH29" s="7"/>
      <c r="EI29" s="7"/>
      <c r="EJ29" s="7"/>
      <c r="EK29" s="7"/>
      <c r="EL29" s="7"/>
      <c r="EM29" s="7"/>
      <c r="EN29" s="7"/>
      <c r="EO29" s="7"/>
      <c r="EP29" s="8"/>
      <c r="EQ29" s="50" t="s">
        <v>37</v>
      </c>
      <c r="ER29" s="50" t="s">
        <v>38</v>
      </c>
      <c r="ES29" s="50" t="s">
        <v>39</v>
      </c>
      <c r="ET29" s="50" t="s">
        <v>6</v>
      </c>
      <c r="EU29" s="50" t="s">
        <v>40</v>
      </c>
      <c r="EV29" s="50" t="s">
        <v>41</v>
      </c>
      <c r="EW29" s="48" t="s">
        <v>42</v>
      </c>
      <c r="EX29" s="48" t="s">
        <v>43</v>
      </c>
      <c r="EY29" s="50" t="s">
        <v>44</v>
      </c>
      <c r="EZ29" s="50" t="s">
        <v>45</v>
      </c>
      <c r="FA29" s="52"/>
    </row>
    <row r="30">
      <c r="A30" s="34"/>
      <c r="B30" s="53" t="s">
        <v>46</v>
      </c>
      <c r="C30" s="53" t="s">
        <v>7</v>
      </c>
      <c r="D30" s="59" t="s">
        <v>47</v>
      </c>
      <c r="E30" s="59" t="s">
        <v>48</v>
      </c>
      <c r="F30" s="53" t="s">
        <v>49</v>
      </c>
      <c r="G30" s="2" t="s">
        <v>50</v>
      </c>
      <c r="H30" s="53" t="s">
        <v>51</v>
      </c>
      <c r="I30" s="18" t="s">
        <v>68</v>
      </c>
      <c r="J30" s="18"/>
      <c r="K30" s="50"/>
      <c r="L30" s="48"/>
      <c r="M30" s="50"/>
      <c r="N30" s="50"/>
      <c r="O30" s="50"/>
      <c r="P30" s="49"/>
      <c r="Q30" s="7"/>
      <c r="R30" s="7"/>
      <c r="S30" s="7"/>
      <c r="T30" s="7"/>
      <c r="U30" s="7"/>
      <c r="V30" s="7"/>
      <c r="W30" s="7"/>
      <c r="X30" s="7"/>
      <c r="Y30" s="8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48"/>
      <c r="AQ30" s="48"/>
      <c r="AR30" s="50"/>
      <c r="AS30" s="50"/>
      <c r="AT30" s="18" t="s">
        <v>68</v>
      </c>
      <c r="AU30" s="18"/>
      <c r="AV30" s="50"/>
      <c r="AW30" s="50"/>
      <c r="AX30" s="48"/>
      <c r="AY30" s="50"/>
      <c r="AZ30" s="50"/>
      <c r="BA30" s="49"/>
      <c r="BB30" s="7"/>
      <c r="BC30" s="7"/>
      <c r="BD30" s="7"/>
      <c r="BE30" s="7"/>
      <c r="BF30" s="7"/>
      <c r="BG30" s="7"/>
      <c r="BH30" s="7"/>
      <c r="BI30" s="7"/>
      <c r="BJ30" s="8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48"/>
      <c r="CB30" s="48"/>
      <c r="CC30" s="50"/>
      <c r="CD30" s="50"/>
      <c r="CE30" s="18" t="s">
        <v>68</v>
      </c>
      <c r="CF30" s="18"/>
      <c r="CG30" s="50"/>
      <c r="CH30" s="50"/>
      <c r="CI30" s="48"/>
      <c r="CJ30" s="50"/>
      <c r="CK30" s="50"/>
      <c r="CL30" s="49"/>
      <c r="CM30" s="7"/>
      <c r="CN30" s="7"/>
      <c r="CO30" s="7"/>
      <c r="CP30" s="7"/>
      <c r="CQ30" s="7"/>
      <c r="CR30" s="7"/>
      <c r="CS30" s="7"/>
      <c r="CT30" s="7"/>
      <c r="CU30" s="8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48"/>
      <c r="DM30" s="48"/>
      <c r="DN30" s="50"/>
      <c r="DO30" s="50"/>
      <c r="DP30" s="18" t="s">
        <v>68</v>
      </c>
      <c r="DQ30" s="18"/>
      <c r="DR30" s="50"/>
      <c r="DS30" s="50"/>
      <c r="DT30" s="48"/>
      <c r="DU30" s="50"/>
      <c r="DV30" s="50"/>
      <c r="DW30" s="49"/>
      <c r="DX30" s="7"/>
      <c r="DY30" s="7"/>
      <c r="DZ30" s="7"/>
      <c r="EA30" s="7"/>
      <c r="EB30" s="7"/>
      <c r="EC30" s="7"/>
      <c r="ED30" s="7"/>
      <c r="EE30" s="7"/>
      <c r="EF30" s="8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48"/>
      <c r="EX30" s="48"/>
      <c r="EY30" s="50"/>
      <c r="EZ30" s="50"/>
      <c r="FA30" s="54"/>
    </row>
    <row r="31">
      <c r="A31" s="34"/>
      <c r="B31" s="61" t="s">
        <v>58</v>
      </c>
      <c r="C31" s="23">
        <v>100.0</v>
      </c>
      <c r="D31" s="29">
        <v>0.8</v>
      </c>
      <c r="E31" s="29">
        <v>0.85</v>
      </c>
      <c r="F31" s="23">
        <v>3.0</v>
      </c>
      <c r="G31" s="33">
        <v>180.0</v>
      </c>
      <c r="H31" s="33">
        <v>0.5</v>
      </c>
      <c r="I31" s="4" t="str">
        <f t="shared" ref="I31:I38" si="158">$B31</f>
        <v>Bench Press [Trainer+]</v>
      </c>
      <c r="J31" s="27">
        <f t="shared" ref="J31:J34" si="159">MAX(ROUND($F31*75%,0),1)</f>
        <v>2</v>
      </c>
      <c r="K31" s="24">
        <f t="shared" ref="K31:K38" si="160">IF(ISNUMBER(J31),J31,MAX(ROUND($F31,0),1))</f>
        <v>2</v>
      </c>
      <c r="L31" s="5"/>
      <c r="M31" s="5">
        <f t="shared" ref="M31:M38" si="161">IF(ISNUMBER(L31),L31,MIN(MAX(MROUND(C31*$D31,$H31),$H31),$G31))</f>
        <v>80</v>
      </c>
      <c r="N31" s="5">
        <f t="shared" ref="N31:N38" si="162">M31</f>
        <v>80</v>
      </c>
      <c r="O31" s="23">
        <v>0.0</v>
      </c>
      <c r="P31" s="23"/>
      <c r="Q31" s="23"/>
      <c r="R31" s="24"/>
      <c r="S31" s="24"/>
      <c r="T31" s="24"/>
      <c r="U31" s="24"/>
      <c r="V31" s="24"/>
      <c r="W31" s="24"/>
      <c r="X31" s="24"/>
      <c r="Y31" s="24"/>
      <c r="Z31" s="24">
        <f t="array" ref="Z31">IF(ISNUMBER(P31),INDEX('hyper-reps-lookup-table'!$B$2:$AE$31,P31,O31+1)*N31*(36/(37-(P31+O31))),0)</f>
        <v>0</v>
      </c>
      <c r="AA31" s="24">
        <f t="array" ref="AA31">IF(ISNUMBER(Q31),INDEX('hyper-reps-lookup-table'!$B$2:$AE$31,Q31,O31+1)*N31*(36/(37-(Q31+O31))),0)</f>
        <v>0</v>
      </c>
      <c r="AB31" s="24">
        <f t="array" ref="AB31">IF(ISNUMBER(R31),INDEX('hyper-reps-lookup-table'!$B$2:$AE$31,R31,O31+1)*N31*(36/(37-(R31+O31))),0)</f>
        <v>0</v>
      </c>
      <c r="AC31" s="24">
        <f t="array" ref="AC31">IF(ISNUMBER(S31),INDEX('hyper-reps-lookup-table'!$B$2:$AE$31,S31,O31+1)*N31*(36/(37-(S31+O31))),0)</f>
        <v>0</v>
      </c>
      <c r="AD31" s="24">
        <f t="array" ref="AD31">IF(ISNUMBER(T31),INDEX('hyper-reps-lookup-table'!$B$2:$AE$31,T31,O31+1)*N31*(36/(37-(T31+O31))),0)</f>
        <v>0</v>
      </c>
      <c r="AE31" s="24">
        <f t="array" ref="AE31">IF(ISNUMBER(U31),INDEX('hyper-reps-lookup-table'!$B$2:$AE$31,U31,O31+1)*N31*(36/(37-(U31+O31))),0)</f>
        <v>0</v>
      </c>
      <c r="AF31" s="24">
        <f t="array" ref="AF31">IF(ISNUMBER(V31),INDEX('hyper-reps-lookup-table'!$B$2:$AE$31,V31,O31+1)*N31*(36/(37-(V31+O31))),0)</f>
        <v>0</v>
      </c>
      <c r="AG31" s="24">
        <f t="array" ref="AG31">IF(ISNUMBER(W31),INDEX('hyper-reps-lookup-table'!$B$2:$AE$31,W31,O31+1)*N31*(36/(37-(W31+O31))),0)</f>
        <v>0</v>
      </c>
      <c r="AH31" s="24">
        <f t="array" ref="AH31">IF(ISNUMBER(X31),INDEX('hyper-reps-lookup-table'!$B$2:$AE$31,X31,O31+1)*N31*(36/(37-(X31+O31))),0)</f>
        <v>0</v>
      </c>
      <c r="AI31" s="24">
        <f t="array" ref="AI31">IF(ISNUMBER(Y31),INDEX('hyper-reps-lookup-table'!$B$2:$AE$31,Y31,O31+1)*N31*(36/(37-(Y31+O31))),0)</f>
        <v>0</v>
      </c>
      <c r="AJ31" s="55">
        <f t="shared" ref="AJ31:AJ38" si="163">IF(AK31&gt;0,N31/AK31,0%)</f>
        <v>0</v>
      </c>
      <c r="AK31" s="24">
        <f t="shared" ref="AK31:AK38" si="164">IF(ISNUMBER(P31),N31*(36/(37-(P31+O31))),0)</f>
        <v>0</v>
      </c>
      <c r="AL31" s="24">
        <f t="shared" ref="AL31:AL38" si="165">SUM(P31:Y31)*N31</f>
        <v>0</v>
      </c>
      <c r="AM31" s="24">
        <f t="shared" ref="AM31:AM38" si="166">SUM(Z31:AI31)</f>
        <v>0</v>
      </c>
      <c r="AN31" s="24">
        <v>0.0</v>
      </c>
      <c r="AO31" s="24">
        <v>0.0</v>
      </c>
      <c r="AP31" s="5">
        <v>0.0</v>
      </c>
      <c r="AQ31" s="5">
        <v>0.0</v>
      </c>
      <c r="AR31" s="24">
        <v>0.0</v>
      </c>
      <c r="AS31" s="24">
        <v>0.0</v>
      </c>
      <c r="AT31" s="4" t="str">
        <f t="shared" ref="AT31:AT38" si="167">I31</f>
        <v>Bench Press [Trainer+]</v>
      </c>
      <c r="AU31" s="24">
        <f t="shared" ref="AU31:AU38" si="168">MAX(ROUND($F31,0),1)</f>
        <v>3</v>
      </c>
      <c r="AV31" s="24">
        <f t="shared" ref="AV31:AV38" si="169">IF(ISNUMBER(AU31),AU31,MIN(MAX(IFS(CC31&gt;0,K31+1,CC31=0,K31,CC31&lt;0,K31),1),$F31))</f>
        <v>3</v>
      </c>
      <c r="AW31" s="23"/>
      <c r="AX31" s="5">
        <f t="shared" ref="AX31:AX38" si="170">IF(ISNUMBER(AW31),AW31,MIN(MAX(MIN(IFS(CC31&gt;0,M31*1.025,CC31=0,M31,CC31&lt;0,AK31*$D31),AK31*$E31),AK31*$D31),$G31))</f>
        <v>0</v>
      </c>
      <c r="AY31" s="5">
        <f t="shared" ref="AY31:AY38" si="171">IF(ISNUMBER(AW31),AW31,MAX(MROUND(AX31,$H31),$H31))</f>
        <v>0.5</v>
      </c>
      <c r="AZ31" s="23">
        <v>0.0</v>
      </c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24">
        <f t="array" ref="BK31">IF(ISNUMBER(BA31),INDEX('hyper-reps-lookup-table'!$B$2:$AE$31,BA31,AZ31+1)*AY31*(36/(37-(BA31+AZ31))),0)</f>
        <v>0</v>
      </c>
      <c r="BL31" s="24">
        <f t="array" ref="BL31">IF(ISNUMBER(BB31),INDEX('hyper-reps-lookup-table'!$B$2:$AE$31,BB31,AZ31+1)*AY31*(36/(37-(BB31+AZ31))),0)</f>
        <v>0</v>
      </c>
      <c r="BM31" s="24">
        <f t="array" ref="BM31">IF(ISNUMBER(BC31),INDEX('hyper-reps-lookup-table'!$B$2:$AE$31,BC31,AZ31+1)*AY31*(36/(37-(BC31+AZ31))),0)</f>
        <v>0</v>
      </c>
      <c r="BN31" s="24">
        <f t="array" ref="BN31">IF(ISNUMBER(BD31),INDEX('hyper-reps-lookup-table'!$B$2:$AE$31,BD31,AZ31+1)*AY31*(36/(37-(BD31+AZ31))),0)</f>
        <v>0</v>
      </c>
      <c r="BO31" s="24">
        <f t="array" ref="BO31">IF(ISNUMBER(BE31),INDEX('hyper-reps-lookup-table'!$B$2:$AE$31,BE31,AZ31+1)*AY31*(36/(37-(BE31+AZ31))),0)</f>
        <v>0</v>
      </c>
      <c r="BP31" s="24">
        <f t="array" ref="BP31">IF(ISNUMBER(BF31),INDEX('hyper-reps-lookup-table'!$B$2:$AE$31,BF31,AZ31+1)*AY31*(36/(37-(BF31+AZ31))),0)</f>
        <v>0</v>
      </c>
      <c r="BQ31" s="24">
        <f t="array" ref="BQ31">IF(ISNUMBER(BG31),INDEX('hyper-reps-lookup-table'!$B$2:$AE$31,BG31,AZ31+1)*AY31*(36/(37-(BG31+AZ31))),0)</f>
        <v>0</v>
      </c>
      <c r="BR31" s="24">
        <f t="array" ref="BR31">IF(ISNUMBER(BH31),INDEX('hyper-reps-lookup-table'!$B$2:$AE$31,BH31,AZ31+1)*AY31*(36/(37-(BH31+AZ31))),0)</f>
        <v>0</v>
      </c>
      <c r="BS31" s="24">
        <f t="array" ref="BS31">IF(ISNUMBER(BI31),INDEX('hyper-reps-lookup-table'!$B$2:$AE$31,BI31,AZ31+1)*AY31*(36/(37-(BI31+AZ31))),0)</f>
        <v>0</v>
      </c>
      <c r="BT31" s="24">
        <f t="array" ref="BT31">IF(ISNUMBER(BJ31),INDEX('hyper-reps-lookup-table'!$B$2:$AE$31,BJ31,AZ31+1)*AY31*(36/(37-(BJ31+AZ31))),0)</f>
        <v>0</v>
      </c>
      <c r="BU31" s="55">
        <f t="shared" ref="BU31:BU38" si="172">IF(BV31&gt;0,AY31/BV31,0%)</f>
        <v>0</v>
      </c>
      <c r="BV31" s="24">
        <f t="shared" ref="BV31:BV38" si="173">IF(ISNUMBER(BA31),AY31*(36/(37-(BA31+AZ31))),0)</f>
        <v>0</v>
      </c>
      <c r="BW31" s="24">
        <f t="shared" ref="BW31:BW38" si="174">SUM(BA31:BJ31)*AY31</f>
        <v>0</v>
      </c>
      <c r="BX31" s="24">
        <f t="shared" ref="BX31:BX38" si="175">SUM(BK31:BT31)</f>
        <v>0</v>
      </c>
      <c r="BY31" s="24">
        <f t="shared" ref="BY31:BY38" si="176">MROUND(SUM(Z31:OFFSET(Z31,0,MIN(AV31,K31)-1)),$H31)</f>
        <v>0</v>
      </c>
      <c r="BZ31" s="24">
        <f t="shared" ref="BZ31:BZ38" si="177">MROUND(SUM(BK31:OFFSET(BK31,0,MIN(AV31,K31)-1)),$H31)</f>
        <v>0</v>
      </c>
      <c r="CA31" s="5">
        <f t="shared" ref="CA31:CA38" si="178">CB13</f>
        <v>0</v>
      </c>
      <c r="CB31" s="5">
        <f t="shared" ref="CB31:CB38" si="179">IF(AND(ISNUMBER(OFFSET(BA31,0,AV31-1)),AT31=I31),IFS(CC31&lt;0,0,BZ31&gt;BY31,1,BZ31&lt;BY31,-0.5,BZ31=BY31,0),0)</f>
        <v>0</v>
      </c>
      <c r="CC31" s="24">
        <f t="shared" ref="CC31:CC38" si="180">CD13</f>
        <v>0</v>
      </c>
      <c r="CD31" s="24">
        <f t="shared" ref="CD31:CD38" si="181">IFS(CC31=-1,-2,CC31=-2,0,CB31&gt;0,1,(CB31+CA31)=-1,-1,CB31=0,0,CB31&lt;0,0)</f>
        <v>0</v>
      </c>
      <c r="CE31" s="4" t="str">
        <f t="shared" ref="CE31:CE38" si="182">AT31</f>
        <v>Bench Press [Trainer+]</v>
      </c>
      <c r="CF31" s="24"/>
      <c r="CG31" s="24">
        <f t="shared" ref="CG31:CG38" si="183">IF(ISNUMBER(CF31),CF31,MIN(MAX(IFS(DN31&gt;0,AV31+1,DN31=0,AV31,DN31&lt;0,AV31),1),$F31))</f>
        <v>3</v>
      </c>
      <c r="CH31" s="23"/>
      <c r="CI31" s="5">
        <f t="shared" ref="CI31:CI38" si="184">IF(ISNUMBER(CH31),CH31,MIN(MAX(MIN(IFS(DN31&gt;0,AX31*1.025,DN31=0,AX31,DN31&lt;0,BV31*$D31),BV31*$E31),BV31*$D31),$G31))</f>
        <v>0</v>
      </c>
      <c r="CJ31" s="5">
        <f t="shared" ref="CJ31:CJ38" si="185">IF(ISNUMBER(CH31),CH31,MAX(MROUND(CI31,$H31),$H31))</f>
        <v>0.5</v>
      </c>
      <c r="CK31" s="23">
        <v>0.0</v>
      </c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24">
        <f t="array" ref="CV31">IF(ISNUMBER(CL31),INDEX('hyper-reps-lookup-table'!$B$2:$AE$31,CL31,CK31+1)*CJ31*(36/(37-(CL31+CK31))),0)</f>
        <v>0</v>
      </c>
      <c r="CW31" s="24">
        <f t="array" ref="CW31">IF(ISNUMBER(CM31),INDEX('hyper-reps-lookup-table'!$B$2:$AE$31,CM31,CK31+1)*CJ31*(36/(37-(CM31+CK31))),0)</f>
        <v>0</v>
      </c>
      <c r="CX31" s="24">
        <f t="array" ref="CX31">IF(ISNUMBER(CN31),INDEX('hyper-reps-lookup-table'!$B$2:$AE$31,CN31,CK31+1)*CJ31*(36/(37-(CN31+CK31))),0)</f>
        <v>0</v>
      </c>
      <c r="CY31" s="24">
        <f t="array" ref="CY31">IF(ISNUMBER(CO31),INDEX('hyper-reps-lookup-table'!$B$2:$AE$31,CO31,CK31+1)*CJ31*(36/(37-(CO31+CK31))),0)</f>
        <v>0</v>
      </c>
      <c r="CZ31" s="24">
        <f t="array" ref="CZ31">IF(ISNUMBER(CP31),INDEX('hyper-reps-lookup-table'!$B$2:$AE$31,CP31,CK31+1)*CJ31*(36/(37-(CP31+CK31))),0)</f>
        <v>0</v>
      </c>
      <c r="DA31" s="24">
        <f t="array" ref="DA31">IF(ISNUMBER(CQ31),INDEX('hyper-reps-lookup-table'!$B$2:$AE$31,CQ31,CK31+1)*CJ31*(36/(37-(CQ31+CK31))),0)</f>
        <v>0</v>
      </c>
      <c r="DB31" s="24">
        <f t="array" ref="DB31">IF(ISNUMBER(CR31),INDEX('hyper-reps-lookup-table'!$B$2:$AE$31,CR31,CK31+1)*CJ31*(36/(37-(CR31+CK31))),0)</f>
        <v>0</v>
      </c>
      <c r="DC31" s="24">
        <f t="array" ref="DC31">IF(ISNUMBER(CS31),INDEX('hyper-reps-lookup-table'!$B$2:$AE$31,CS31,CK31+1)*CJ31*(36/(37-(CS31+CK31))),0)</f>
        <v>0</v>
      </c>
      <c r="DD31" s="24">
        <f t="array" ref="DD31">IF(ISNUMBER(CT31),INDEX('hyper-reps-lookup-table'!$B$2:$AE$31,CT31,CK31+1)*CJ31*(36/(37-(CT31+CK31))),0)</f>
        <v>0</v>
      </c>
      <c r="DE31" s="24">
        <f t="array" ref="DE31">IF(ISNUMBER(CU31),INDEX('hyper-reps-lookup-table'!$B$2:$AE$31,CU31,CK31+1)*CJ31*(36/(37-(CU31+CK31))),0)</f>
        <v>0</v>
      </c>
      <c r="DF31" s="55">
        <f t="shared" ref="DF31:DF38" si="186">IF(DG31&gt;0,CJ31/DG31,0%)</f>
        <v>0</v>
      </c>
      <c r="DG31" s="24">
        <f t="shared" ref="DG31:DG38" si="187">IF(ISNUMBER(CL31),CJ31*(36/(37-(CL31+CK31))),0)</f>
        <v>0</v>
      </c>
      <c r="DH31" s="24">
        <f t="shared" ref="DH31:DH38" si="188">SUM(CL31:CU31)*CJ31</f>
        <v>0</v>
      </c>
      <c r="DI31" s="24">
        <f t="shared" ref="DI31:DI38" si="189">SUM(CV31:DE31)</f>
        <v>0</v>
      </c>
      <c r="DJ31" s="24">
        <f t="shared" ref="DJ31:DJ38" si="190">MROUND(SUM(BK31:OFFSET(BK31,0,MIN(CG31,AV31)-1)),$H31)</f>
        <v>0</v>
      </c>
      <c r="DK31" s="24">
        <f t="shared" ref="DK31:DK38" si="191">MROUND(SUM(CV31:OFFSET(CV31,0,MIN(CG31,AV31)-1)),$H31)</f>
        <v>0</v>
      </c>
      <c r="DL31" s="5">
        <f t="shared" ref="DL31:DL38" si="192">DM13</f>
        <v>0</v>
      </c>
      <c r="DM31" s="5">
        <f t="shared" ref="DM31:DM38" si="193">IF(AND(ISNUMBER(OFFSET(CL31,0,CG31-1)),CE31=AT31),IFS(DN31&lt;0,0,DK31&gt;DJ31,1,DK31&lt;DJ31,-0.5,DK31=DJ31,0),0)</f>
        <v>0</v>
      </c>
      <c r="DN31" s="24">
        <f t="shared" ref="DN31:DN38" si="194">DO13</f>
        <v>0</v>
      </c>
      <c r="DO31" s="24">
        <f t="shared" ref="DO31:DO38" si="195">IFS(DN31=-1,-2,DN31=-2,0,DM31&gt;0,1,(DM31+DL31)=-1,-1,DM31=0,0,DM31&lt;0,0)</f>
        <v>0</v>
      </c>
      <c r="DP31" s="4" t="str">
        <f t="shared" ref="DP31:DP38" si="196">CE31</f>
        <v>Bench Press [Trainer+]</v>
      </c>
      <c r="DQ31" s="24"/>
      <c r="DR31" s="24">
        <f t="shared" ref="DR31:DR38" si="197">IF(ISNUMBER(DQ31),DQ31,MIN(MAX(IFS(EY31&gt;0,CG31+1,EY31=0,CG31,EY31&lt;0,CG31),1),$F31))</f>
        <v>3</v>
      </c>
      <c r="DS31" s="23"/>
      <c r="DT31" s="5">
        <f t="shared" ref="DT31:DT38" si="198">IF(ISNUMBER(DS31),DS31,MIN(MAX(MIN(IFS(EY31&gt;0,CI31*1.025,EY31=0,CI31,EY31&lt;0,DG31*$D31),DG31*$E31),DG31*$D31),$G31))</f>
        <v>0</v>
      </c>
      <c r="DU31" s="5">
        <f t="shared" ref="DU31:DU38" si="199">IF(ISNUMBER(DS31),DS31,MAX(MROUND(DT31,$H31),$H31))</f>
        <v>0.5</v>
      </c>
      <c r="DV31" s="23">
        <v>0.0</v>
      </c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24">
        <f t="array" ref="EG31">IF(ISNUMBER(DW31),INDEX('hyper-reps-lookup-table'!$B$2:$AE$31,DW31,DV31+1)*DU31*(36/(37-(DW31+DV31))),0)</f>
        <v>0</v>
      </c>
      <c r="EH31" s="24">
        <f t="array" ref="EH31">IF(ISNUMBER(DX31),INDEX('hyper-reps-lookup-table'!$B$2:$AE$31,DX31,DV31+1)*DU31*(36/(37-(DX31+DV31))),0)</f>
        <v>0</v>
      </c>
      <c r="EI31" s="24">
        <f t="array" ref="EI31">IF(ISNUMBER(DY31),INDEX('hyper-reps-lookup-table'!$B$2:$AE$31,DY31,DV31+1)*DU31*(36/(37-(DY31+DV31))),0)</f>
        <v>0</v>
      </c>
      <c r="EJ31" s="24">
        <f t="array" ref="EJ31">IF(ISNUMBER(DZ31),INDEX('hyper-reps-lookup-table'!$B$2:$AE$31,DZ31,DV31+1)*DU31*(36/(37-(DZ31+DV31))),0)</f>
        <v>0</v>
      </c>
      <c r="EK31" s="24">
        <f t="array" ref="EK31">IF(ISNUMBER(EA31),INDEX('hyper-reps-lookup-table'!$B$2:$AE$31,EA31,DV31+1)*DU31*(36/(37-(EA31+DV31))),0)</f>
        <v>0</v>
      </c>
      <c r="EL31" s="24">
        <f t="array" ref="EL31">IF(ISNUMBER(EB31),INDEX('hyper-reps-lookup-table'!$B$2:$AE$31,EB31,DV31+1)*DU31*(36/(37-(EB31+DV31))),0)</f>
        <v>0</v>
      </c>
      <c r="EM31" s="24">
        <f t="array" ref="EM31">IF(ISNUMBER(EC31),INDEX('hyper-reps-lookup-table'!$B$2:$AE$31,EC31,DV31+1)*DU31*(36/(37-(EC31+DV31))),0)</f>
        <v>0</v>
      </c>
      <c r="EN31" s="24">
        <f t="array" ref="EN31">IF(ISNUMBER(ED31),INDEX('hyper-reps-lookup-table'!$B$2:$AE$31,ED31,DV31+1)*DU31*(36/(37-(ED31+DV31))),0)</f>
        <v>0</v>
      </c>
      <c r="EO31" s="24">
        <f t="array" ref="EO31">IF(ISNUMBER(EE31),INDEX('hyper-reps-lookup-table'!$B$2:$AE$31,EE31,DV31+1)*DU31*(36/(37-(EE31+DV31))),0)</f>
        <v>0</v>
      </c>
      <c r="EP31" s="24">
        <f t="array" ref="EP31">IF(ISNUMBER(EF31),INDEX('hyper-reps-lookup-table'!$B$2:$AE$31,EF31,DV31+1)*DU31*(36/(37-(EF31+DV31))),0)</f>
        <v>0</v>
      </c>
      <c r="EQ31" s="55">
        <f t="shared" ref="EQ31:EQ38" si="200">IF(ER31&gt;0,DU31/ER31,0%)</f>
        <v>0</v>
      </c>
      <c r="ER31" s="24">
        <f t="shared" ref="ER31:ER38" si="201">IF(ISNUMBER(DW31),DU31*(36/(37-(DW31+DV31))),0)</f>
        <v>0</v>
      </c>
      <c r="ES31" s="24">
        <f t="shared" ref="ES31:ES38" si="202">SUM(DW31:EF31)*DU31</f>
        <v>0</v>
      </c>
      <c r="ET31" s="24">
        <f t="shared" ref="ET31:ET38" si="203">SUM(EG31:EP31)</f>
        <v>0</v>
      </c>
      <c r="EU31" s="24">
        <f t="shared" ref="EU31:EU38" si="204">MROUND(SUM(CV31:OFFSET(CV31,0,MIN(DR31,CG31)-1)),$H31)</f>
        <v>0</v>
      </c>
      <c r="EV31" s="24">
        <f t="shared" ref="EV31:EV38" si="205">MROUND(SUM(EG31:OFFSET(EG31,0,MIN(DR31,CG31)-1)),$H31)</f>
        <v>0</v>
      </c>
      <c r="EW31" s="5">
        <f t="shared" ref="EW31:EW38" si="206">EX13</f>
        <v>0</v>
      </c>
      <c r="EX31" s="5">
        <f t="shared" ref="EX31:EX38" si="207">IF(AND(ISNUMBER(OFFSET(DW31,0,DR31-1)),DP31=CE31),IFS(EY31&lt;0,0,EV31&gt;EU31,1,EV31&lt;EU31,-0.5,EV31=EU31,0),0)</f>
        <v>0</v>
      </c>
      <c r="EY31" s="24">
        <f t="shared" ref="EY31:EY38" si="208">EZ13</f>
        <v>0</v>
      </c>
      <c r="EZ31" s="24">
        <f t="shared" ref="EZ31:EZ38" si="209">IFS(EY31=-1,-2,EY31=-2,0,EX31&gt;0,1,(EX31+EW31)=-1,-1,EX31=0,0,EX31&lt;0,0)</f>
        <v>0</v>
      </c>
      <c r="FA31" s="14"/>
    </row>
    <row r="32">
      <c r="A32" s="34"/>
      <c r="B32" s="27" t="s">
        <v>59</v>
      </c>
      <c r="C32" s="23">
        <v>100.0</v>
      </c>
      <c r="D32" s="29">
        <v>0.8</v>
      </c>
      <c r="E32" s="29">
        <v>0.85</v>
      </c>
      <c r="F32" s="23">
        <v>3.0</v>
      </c>
      <c r="G32" s="33">
        <v>90.0</v>
      </c>
      <c r="H32" s="33">
        <v>2.5</v>
      </c>
      <c r="I32" s="4" t="str">
        <f t="shared" si="158"/>
        <v>Single Arm Row [Unica]</v>
      </c>
      <c r="J32" s="27">
        <f t="shared" si="159"/>
        <v>2</v>
      </c>
      <c r="K32" s="24">
        <f t="shared" si="160"/>
        <v>2</v>
      </c>
      <c r="L32" s="5"/>
      <c r="M32" s="5">
        <f t="shared" si="161"/>
        <v>80</v>
      </c>
      <c r="N32" s="5">
        <f t="shared" si="162"/>
        <v>80</v>
      </c>
      <c r="O32" s="23">
        <v>0.0</v>
      </c>
      <c r="P32" s="23"/>
      <c r="Q32" s="23"/>
      <c r="R32" s="24"/>
      <c r="S32" s="24"/>
      <c r="T32" s="24"/>
      <c r="U32" s="24"/>
      <c r="V32" s="24"/>
      <c r="W32" s="24"/>
      <c r="X32" s="24"/>
      <c r="Y32" s="24"/>
      <c r="Z32" s="24">
        <f t="array" ref="Z32">IF(ISNUMBER(P32),INDEX('hyper-reps-lookup-table'!$B$2:$AE$31,P32,O32+1)*N32*(36/(37-(P32+O32))),0)</f>
        <v>0</v>
      </c>
      <c r="AA32" s="24">
        <f t="array" ref="AA32">IF(ISNUMBER(Q32),INDEX('hyper-reps-lookup-table'!$B$2:$AE$31,Q32,O32+1)*N32*(36/(37-(Q32+O32))),0)</f>
        <v>0</v>
      </c>
      <c r="AB32" s="24">
        <f t="array" ref="AB32">IF(ISNUMBER(R32),INDEX('hyper-reps-lookup-table'!$B$2:$AE$31,R32,O32+1)*N32*(36/(37-(R32+O32))),0)</f>
        <v>0</v>
      </c>
      <c r="AC32" s="24">
        <f t="array" ref="AC32">IF(ISNUMBER(S32),INDEX('hyper-reps-lookup-table'!$B$2:$AE$31,S32,O32+1)*N32*(36/(37-(S32+O32))),0)</f>
        <v>0</v>
      </c>
      <c r="AD32" s="24">
        <f t="array" ref="AD32">IF(ISNUMBER(T32),INDEX('hyper-reps-lookup-table'!$B$2:$AE$31,T32,O32+1)*N32*(36/(37-(T32+O32))),0)</f>
        <v>0</v>
      </c>
      <c r="AE32" s="24">
        <f t="array" ref="AE32">IF(ISNUMBER(U32),INDEX('hyper-reps-lookup-table'!$B$2:$AE$31,U32,O32+1)*N32*(36/(37-(U32+O32))),0)</f>
        <v>0</v>
      </c>
      <c r="AF32" s="24">
        <f t="array" ref="AF32">IF(ISNUMBER(V32),INDEX('hyper-reps-lookup-table'!$B$2:$AE$31,V32,O32+1)*N32*(36/(37-(V32+O32))),0)</f>
        <v>0</v>
      </c>
      <c r="AG32" s="24">
        <f t="array" ref="AG32">IF(ISNUMBER(W32),INDEX('hyper-reps-lookup-table'!$B$2:$AE$31,W32,O32+1)*N32*(36/(37-(W32+O32))),0)</f>
        <v>0</v>
      </c>
      <c r="AH32" s="24">
        <f t="array" ref="AH32">IF(ISNUMBER(X32),INDEX('hyper-reps-lookup-table'!$B$2:$AE$31,X32,O32+1)*N32*(36/(37-(X32+O32))),0)</f>
        <v>0</v>
      </c>
      <c r="AI32" s="24">
        <f t="array" ref="AI32">IF(ISNUMBER(Y32),INDEX('hyper-reps-lookup-table'!$B$2:$AE$31,Y32,O32+1)*N32*(36/(37-(Y32+O32))),0)</f>
        <v>0</v>
      </c>
      <c r="AJ32" s="55">
        <f t="shared" si="163"/>
        <v>0</v>
      </c>
      <c r="AK32" s="24">
        <f t="shared" si="164"/>
        <v>0</v>
      </c>
      <c r="AL32" s="24">
        <f t="shared" si="165"/>
        <v>0</v>
      </c>
      <c r="AM32" s="24">
        <f t="shared" si="166"/>
        <v>0</v>
      </c>
      <c r="AN32" s="24">
        <v>0.0</v>
      </c>
      <c r="AO32" s="24">
        <v>0.0</v>
      </c>
      <c r="AP32" s="5">
        <v>0.0</v>
      </c>
      <c r="AQ32" s="5">
        <v>0.0</v>
      </c>
      <c r="AR32" s="24">
        <v>0.0</v>
      </c>
      <c r="AS32" s="24">
        <v>0.0</v>
      </c>
      <c r="AT32" s="4" t="str">
        <f t="shared" si="167"/>
        <v>Single Arm Row [Unica]</v>
      </c>
      <c r="AU32" s="24">
        <f t="shared" si="168"/>
        <v>3</v>
      </c>
      <c r="AV32" s="24">
        <f t="shared" si="169"/>
        <v>3</v>
      </c>
      <c r="AW32" s="23"/>
      <c r="AX32" s="5">
        <f t="shared" si="170"/>
        <v>0</v>
      </c>
      <c r="AY32" s="5">
        <f t="shared" si="171"/>
        <v>2.5</v>
      </c>
      <c r="AZ32" s="23">
        <v>0.0</v>
      </c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24">
        <f t="array" ref="BK32">IF(ISNUMBER(BA32),INDEX('hyper-reps-lookup-table'!$B$2:$AE$31,BA32,AZ32+1)*AY32*(36/(37-(BA32+AZ32))),0)</f>
        <v>0</v>
      </c>
      <c r="BL32" s="24">
        <f t="array" ref="BL32">IF(ISNUMBER(BB32),INDEX('hyper-reps-lookup-table'!$B$2:$AE$31,BB32,AZ32+1)*AY32*(36/(37-(BB32+AZ32))),0)</f>
        <v>0</v>
      </c>
      <c r="BM32" s="24">
        <f t="array" ref="BM32">IF(ISNUMBER(BC32),INDEX('hyper-reps-lookup-table'!$B$2:$AE$31,BC32,AZ32+1)*AY32*(36/(37-(BC32+AZ32))),0)</f>
        <v>0</v>
      </c>
      <c r="BN32" s="24">
        <f t="array" ref="BN32">IF(ISNUMBER(BD32),INDEX('hyper-reps-lookup-table'!$B$2:$AE$31,BD32,AZ32+1)*AY32*(36/(37-(BD32+AZ32))),0)</f>
        <v>0</v>
      </c>
      <c r="BO32" s="24">
        <f t="array" ref="BO32">IF(ISNUMBER(BE32),INDEX('hyper-reps-lookup-table'!$B$2:$AE$31,BE32,AZ32+1)*AY32*(36/(37-(BE32+AZ32))),0)</f>
        <v>0</v>
      </c>
      <c r="BP32" s="24">
        <f t="array" ref="BP32">IF(ISNUMBER(BF32),INDEX('hyper-reps-lookup-table'!$B$2:$AE$31,BF32,AZ32+1)*AY32*(36/(37-(BF32+AZ32))),0)</f>
        <v>0</v>
      </c>
      <c r="BQ32" s="24">
        <f t="array" ref="BQ32">IF(ISNUMBER(BG32),INDEX('hyper-reps-lookup-table'!$B$2:$AE$31,BG32,AZ32+1)*AY32*(36/(37-(BG32+AZ32))),0)</f>
        <v>0</v>
      </c>
      <c r="BR32" s="24">
        <f t="array" ref="BR32">IF(ISNUMBER(BH32),INDEX('hyper-reps-lookup-table'!$B$2:$AE$31,BH32,AZ32+1)*AY32*(36/(37-(BH32+AZ32))),0)</f>
        <v>0</v>
      </c>
      <c r="BS32" s="24">
        <f t="array" ref="BS32">IF(ISNUMBER(BI32),INDEX('hyper-reps-lookup-table'!$B$2:$AE$31,BI32,AZ32+1)*AY32*(36/(37-(BI32+AZ32))),0)</f>
        <v>0</v>
      </c>
      <c r="BT32" s="24">
        <f t="array" ref="BT32">IF(ISNUMBER(BJ32),INDEX('hyper-reps-lookup-table'!$B$2:$AE$31,BJ32,AZ32+1)*AY32*(36/(37-(BJ32+AZ32))),0)</f>
        <v>0</v>
      </c>
      <c r="BU32" s="55">
        <f t="shared" si="172"/>
        <v>0</v>
      </c>
      <c r="BV32" s="24">
        <f t="shared" si="173"/>
        <v>0</v>
      </c>
      <c r="BW32" s="24">
        <f t="shared" si="174"/>
        <v>0</v>
      </c>
      <c r="BX32" s="24">
        <f t="shared" si="175"/>
        <v>0</v>
      </c>
      <c r="BY32" s="24">
        <f t="shared" si="176"/>
        <v>0</v>
      </c>
      <c r="BZ32" s="24">
        <f t="shared" si="177"/>
        <v>0</v>
      </c>
      <c r="CA32" s="5">
        <f t="shared" si="178"/>
        <v>0</v>
      </c>
      <c r="CB32" s="5">
        <f t="shared" si="179"/>
        <v>0</v>
      </c>
      <c r="CC32" s="24">
        <f t="shared" si="180"/>
        <v>0</v>
      </c>
      <c r="CD32" s="24">
        <f t="shared" si="181"/>
        <v>0</v>
      </c>
      <c r="CE32" s="4" t="str">
        <f t="shared" si="182"/>
        <v>Single Arm Row [Unica]</v>
      </c>
      <c r="CF32" s="24"/>
      <c r="CG32" s="24">
        <f t="shared" si="183"/>
        <v>3</v>
      </c>
      <c r="CH32" s="23"/>
      <c r="CI32" s="5">
        <f t="shared" si="184"/>
        <v>0</v>
      </c>
      <c r="CJ32" s="5">
        <f t="shared" si="185"/>
        <v>2.5</v>
      </c>
      <c r="CK32" s="23">
        <v>0.0</v>
      </c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24">
        <f t="array" ref="CV32">IF(ISNUMBER(CL32),INDEX('hyper-reps-lookup-table'!$B$2:$AE$31,CL32,CK32+1)*CJ32*(36/(37-(CL32+CK32))),0)</f>
        <v>0</v>
      </c>
      <c r="CW32" s="24">
        <f t="array" ref="CW32">IF(ISNUMBER(CM32),INDEX('hyper-reps-lookup-table'!$B$2:$AE$31,CM32,CK32+1)*CJ32*(36/(37-(CM32+CK32))),0)</f>
        <v>0</v>
      </c>
      <c r="CX32" s="24">
        <f t="array" ref="CX32">IF(ISNUMBER(CN32),INDEX('hyper-reps-lookup-table'!$B$2:$AE$31,CN32,CK32+1)*CJ32*(36/(37-(CN32+CK32))),0)</f>
        <v>0</v>
      </c>
      <c r="CY32" s="24">
        <f t="array" ref="CY32">IF(ISNUMBER(CO32),INDEX('hyper-reps-lookup-table'!$B$2:$AE$31,CO32,CK32+1)*CJ32*(36/(37-(CO32+CK32))),0)</f>
        <v>0</v>
      </c>
      <c r="CZ32" s="24">
        <f t="array" ref="CZ32">IF(ISNUMBER(CP32),INDEX('hyper-reps-lookup-table'!$B$2:$AE$31,CP32,CK32+1)*CJ32*(36/(37-(CP32+CK32))),0)</f>
        <v>0</v>
      </c>
      <c r="DA32" s="24">
        <f t="array" ref="DA32">IF(ISNUMBER(CQ32),INDEX('hyper-reps-lookup-table'!$B$2:$AE$31,CQ32,CK32+1)*CJ32*(36/(37-(CQ32+CK32))),0)</f>
        <v>0</v>
      </c>
      <c r="DB32" s="24">
        <f t="array" ref="DB32">IF(ISNUMBER(CR32),INDEX('hyper-reps-lookup-table'!$B$2:$AE$31,CR32,CK32+1)*CJ32*(36/(37-(CR32+CK32))),0)</f>
        <v>0</v>
      </c>
      <c r="DC32" s="24">
        <f t="array" ref="DC32">IF(ISNUMBER(CS32),INDEX('hyper-reps-lookup-table'!$B$2:$AE$31,CS32,CK32+1)*CJ32*(36/(37-(CS32+CK32))),0)</f>
        <v>0</v>
      </c>
      <c r="DD32" s="24">
        <f t="array" ref="DD32">IF(ISNUMBER(CT32),INDEX('hyper-reps-lookup-table'!$B$2:$AE$31,CT32,CK32+1)*CJ32*(36/(37-(CT32+CK32))),0)</f>
        <v>0</v>
      </c>
      <c r="DE32" s="24">
        <f t="array" ref="DE32">IF(ISNUMBER(CU32),INDEX('hyper-reps-lookup-table'!$B$2:$AE$31,CU32,CK32+1)*CJ32*(36/(37-(CU32+CK32))),0)</f>
        <v>0</v>
      </c>
      <c r="DF32" s="55">
        <f t="shared" si="186"/>
        <v>0</v>
      </c>
      <c r="DG32" s="24">
        <f t="shared" si="187"/>
        <v>0</v>
      </c>
      <c r="DH32" s="24">
        <f t="shared" si="188"/>
        <v>0</v>
      </c>
      <c r="DI32" s="24">
        <f t="shared" si="189"/>
        <v>0</v>
      </c>
      <c r="DJ32" s="24">
        <f t="shared" si="190"/>
        <v>0</v>
      </c>
      <c r="DK32" s="24">
        <f t="shared" si="191"/>
        <v>0</v>
      </c>
      <c r="DL32" s="5">
        <f t="shared" si="192"/>
        <v>0</v>
      </c>
      <c r="DM32" s="5">
        <f t="shared" si="193"/>
        <v>0</v>
      </c>
      <c r="DN32" s="24">
        <f t="shared" si="194"/>
        <v>0</v>
      </c>
      <c r="DO32" s="24">
        <f t="shared" si="195"/>
        <v>0</v>
      </c>
      <c r="DP32" s="4" t="str">
        <f t="shared" si="196"/>
        <v>Single Arm Row [Unica]</v>
      </c>
      <c r="DQ32" s="24"/>
      <c r="DR32" s="24">
        <f t="shared" si="197"/>
        <v>3</v>
      </c>
      <c r="DS32" s="23"/>
      <c r="DT32" s="5">
        <f t="shared" si="198"/>
        <v>0</v>
      </c>
      <c r="DU32" s="5">
        <f t="shared" si="199"/>
        <v>2.5</v>
      </c>
      <c r="DV32" s="23">
        <v>0.0</v>
      </c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24">
        <f t="array" ref="EG32">IF(ISNUMBER(DW32),INDEX('hyper-reps-lookup-table'!$B$2:$AE$31,DW32,DV32+1)*DU32*(36/(37-(DW32+DV32))),0)</f>
        <v>0</v>
      </c>
      <c r="EH32" s="24">
        <f t="array" ref="EH32">IF(ISNUMBER(DX32),INDEX('hyper-reps-lookup-table'!$B$2:$AE$31,DX32,DV32+1)*DU32*(36/(37-(DX32+DV32))),0)</f>
        <v>0</v>
      </c>
      <c r="EI32" s="24">
        <f t="array" ref="EI32">IF(ISNUMBER(DY32),INDEX('hyper-reps-lookup-table'!$B$2:$AE$31,DY32,DV32+1)*DU32*(36/(37-(DY32+DV32))),0)</f>
        <v>0</v>
      </c>
      <c r="EJ32" s="24">
        <f t="array" ref="EJ32">IF(ISNUMBER(DZ32),INDEX('hyper-reps-lookup-table'!$B$2:$AE$31,DZ32,DV32+1)*DU32*(36/(37-(DZ32+DV32))),0)</f>
        <v>0</v>
      </c>
      <c r="EK32" s="24">
        <f t="array" ref="EK32">IF(ISNUMBER(EA32),INDEX('hyper-reps-lookup-table'!$B$2:$AE$31,EA32,DV32+1)*DU32*(36/(37-(EA32+DV32))),0)</f>
        <v>0</v>
      </c>
      <c r="EL32" s="24">
        <f t="array" ref="EL32">IF(ISNUMBER(EB32),INDEX('hyper-reps-lookup-table'!$B$2:$AE$31,EB32,DV32+1)*DU32*(36/(37-(EB32+DV32))),0)</f>
        <v>0</v>
      </c>
      <c r="EM32" s="24">
        <f t="array" ref="EM32">IF(ISNUMBER(EC32),INDEX('hyper-reps-lookup-table'!$B$2:$AE$31,EC32,DV32+1)*DU32*(36/(37-(EC32+DV32))),0)</f>
        <v>0</v>
      </c>
      <c r="EN32" s="24">
        <f t="array" ref="EN32">IF(ISNUMBER(ED32),INDEX('hyper-reps-lookup-table'!$B$2:$AE$31,ED32,DV32+1)*DU32*(36/(37-(ED32+DV32))),0)</f>
        <v>0</v>
      </c>
      <c r="EO32" s="24">
        <f t="array" ref="EO32">IF(ISNUMBER(EE32),INDEX('hyper-reps-lookup-table'!$B$2:$AE$31,EE32,DV32+1)*DU32*(36/(37-(EE32+DV32))),0)</f>
        <v>0</v>
      </c>
      <c r="EP32" s="24">
        <f t="array" ref="EP32">IF(ISNUMBER(EF32),INDEX('hyper-reps-lookup-table'!$B$2:$AE$31,EF32,DV32+1)*DU32*(36/(37-(EF32+DV32))),0)</f>
        <v>0</v>
      </c>
      <c r="EQ32" s="55">
        <f t="shared" si="200"/>
        <v>0</v>
      </c>
      <c r="ER32" s="24">
        <f t="shared" si="201"/>
        <v>0</v>
      </c>
      <c r="ES32" s="24">
        <f t="shared" si="202"/>
        <v>0</v>
      </c>
      <c r="ET32" s="24">
        <f t="shared" si="203"/>
        <v>0</v>
      </c>
      <c r="EU32" s="24">
        <f t="shared" si="204"/>
        <v>0</v>
      </c>
      <c r="EV32" s="24">
        <f t="shared" si="205"/>
        <v>0</v>
      </c>
      <c r="EW32" s="5">
        <f t="shared" si="206"/>
        <v>0</v>
      </c>
      <c r="EX32" s="5">
        <f t="shared" si="207"/>
        <v>0</v>
      </c>
      <c r="EY32" s="24">
        <f t="shared" si="208"/>
        <v>0</v>
      </c>
      <c r="EZ32" s="24">
        <f t="shared" si="209"/>
        <v>0</v>
      </c>
      <c r="FA32" s="14"/>
    </row>
    <row r="33">
      <c r="A33" s="34"/>
      <c r="B33" s="27" t="s">
        <v>60</v>
      </c>
      <c r="C33" s="23">
        <v>100.0</v>
      </c>
      <c r="D33" s="29">
        <v>0.75</v>
      </c>
      <c r="E33" s="29">
        <v>0.8</v>
      </c>
      <c r="F33" s="23">
        <v>3.0</v>
      </c>
      <c r="G33" s="33">
        <v>180.0</v>
      </c>
      <c r="H33" s="33">
        <v>0.5</v>
      </c>
      <c r="I33" s="4" t="str">
        <f t="shared" si="158"/>
        <v>Lying Pec Flys (RPT) [Trainer+]</v>
      </c>
      <c r="J33" s="27">
        <f t="shared" si="159"/>
        <v>2</v>
      </c>
      <c r="K33" s="24">
        <f t="shared" si="160"/>
        <v>2</v>
      </c>
      <c r="L33" s="5"/>
      <c r="M33" s="5">
        <f t="shared" si="161"/>
        <v>75</v>
      </c>
      <c r="N33" s="5">
        <f t="shared" si="162"/>
        <v>75</v>
      </c>
      <c r="O33" s="23">
        <v>0.0</v>
      </c>
      <c r="P33" s="23"/>
      <c r="Q33" s="23"/>
      <c r="R33" s="24"/>
      <c r="S33" s="24"/>
      <c r="T33" s="24"/>
      <c r="U33" s="24"/>
      <c r="V33" s="24"/>
      <c r="W33" s="24"/>
      <c r="X33" s="24"/>
      <c r="Y33" s="24"/>
      <c r="Z33" s="24">
        <f t="array" ref="Z33">IF(ISNUMBER(P33),INDEX('hyper-reps-lookup-table'!$B$2:$AE$31,P33,O33+1)*N33*(36/(37-(P33+O33))),0)</f>
        <v>0</v>
      </c>
      <c r="AA33" s="24">
        <f t="array" ref="AA33">IF(ISNUMBER(Q33),INDEX('hyper-reps-lookup-table'!$B$2:$AE$31,Q33,O33+1)*N33*(36/(37-(Q33+O33))),0)</f>
        <v>0</v>
      </c>
      <c r="AB33" s="24">
        <f t="array" ref="AB33">IF(ISNUMBER(R33),INDEX('hyper-reps-lookup-table'!$B$2:$AE$31,R33,O33+1)*N33*(36/(37-(R33+O33))),0)</f>
        <v>0</v>
      </c>
      <c r="AC33" s="24">
        <f t="array" ref="AC33">IF(ISNUMBER(S33),INDEX('hyper-reps-lookup-table'!$B$2:$AE$31,S33,O33+1)*N33*(36/(37-(S33+O33))),0)</f>
        <v>0</v>
      </c>
      <c r="AD33" s="24">
        <f t="array" ref="AD33">IF(ISNUMBER(T33),INDEX('hyper-reps-lookup-table'!$B$2:$AE$31,T33,O33+1)*N33*(36/(37-(T33+O33))),0)</f>
        <v>0</v>
      </c>
      <c r="AE33" s="24">
        <f t="array" ref="AE33">IF(ISNUMBER(U33),INDEX('hyper-reps-lookup-table'!$B$2:$AE$31,U33,O33+1)*N33*(36/(37-(U33+O33))),0)</f>
        <v>0</v>
      </c>
      <c r="AF33" s="24">
        <f t="array" ref="AF33">IF(ISNUMBER(V33),INDEX('hyper-reps-lookup-table'!$B$2:$AE$31,V33,O33+1)*N33*(36/(37-(V33+O33))),0)</f>
        <v>0</v>
      </c>
      <c r="AG33" s="24">
        <f t="array" ref="AG33">IF(ISNUMBER(W33),INDEX('hyper-reps-lookup-table'!$B$2:$AE$31,W33,O33+1)*N33*(36/(37-(W33+O33))),0)</f>
        <v>0</v>
      </c>
      <c r="AH33" s="24">
        <f t="array" ref="AH33">IF(ISNUMBER(X33),INDEX('hyper-reps-lookup-table'!$B$2:$AE$31,X33,O33+1)*N33*(36/(37-(X33+O33))),0)</f>
        <v>0</v>
      </c>
      <c r="AI33" s="24">
        <f t="array" ref="AI33">IF(ISNUMBER(Y33),INDEX('hyper-reps-lookup-table'!$B$2:$AE$31,Y33,O33+1)*N33*(36/(37-(Y33+O33))),0)</f>
        <v>0</v>
      </c>
      <c r="AJ33" s="55">
        <f t="shared" si="163"/>
        <v>0</v>
      </c>
      <c r="AK33" s="24">
        <f t="shared" si="164"/>
        <v>0</v>
      </c>
      <c r="AL33" s="24">
        <f t="shared" si="165"/>
        <v>0</v>
      </c>
      <c r="AM33" s="24">
        <f t="shared" si="166"/>
        <v>0</v>
      </c>
      <c r="AN33" s="24">
        <v>0.0</v>
      </c>
      <c r="AO33" s="24">
        <v>0.0</v>
      </c>
      <c r="AP33" s="5">
        <v>0.0</v>
      </c>
      <c r="AQ33" s="5">
        <v>0.0</v>
      </c>
      <c r="AR33" s="24">
        <v>0.0</v>
      </c>
      <c r="AS33" s="24">
        <v>0.0</v>
      </c>
      <c r="AT33" s="4" t="str">
        <f t="shared" si="167"/>
        <v>Lying Pec Flys (RPT) [Trainer+]</v>
      </c>
      <c r="AU33" s="24">
        <f t="shared" si="168"/>
        <v>3</v>
      </c>
      <c r="AV33" s="24">
        <f t="shared" si="169"/>
        <v>3</v>
      </c>
      <c r="AW33" s="23"/>
      <c r="AX33" s="5">
        <f t="shared" si="170"/>
        <v>0</v>
      </c>
      <c r="AY33" s="5">
        <f t="shared" si="171"/>
        <v>0.5</v>
      </c>
      <c r="AZ33" s="23">
        <v>0.0</v>
      </c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24">
        <f t="array" ref="BK33">IF(ISNUMBER(BA33),INDEX('hyper-reps-lookup-table'!$B$2:$AE$31,BA33,AZ33+1)*AY33*(36/(37-(BA33+AZ33))),0)</f>
        <v>0</v>
      </c>
      <c r="BL33" s="24">
        <f t="array" ref="BL33">IF(ISNUMBER(BB33),INDEX('hyper-reps-lookup-table'!$B$2:$AE$31,BB33,AZ33+1)*AY33*(36/(37-(BB33+AZ33))),0)</f>
        <v>0</v>
      </c>
      <c r="BM33" s="24">
        <f t="array" ref="BM33">IF(ISNUMBER(BC33),INDEX('hyper-reps-lookup-table'!$B$2:$AE$31,BC33,AZ33+1)*AY33*(36/(37-(BC33+AZ33))),0)</f>
        <v>0</v>
      </c>
      <c r="BN33" s="24">
        <f t="array" ref="BN33">IF(ISNUMBER(BD33),INDEX('hyper-reps-lookup-table'!$B$2:$AE$31,BD33,AZ33+1)*AY33*(36/(37-(BD33+AZ33))),0)</f>
        <v>0</v>
      </c>
      <c r="BO33" s="24">
        <f t="array" ref="BO33">IF(ISNUMBER(BE33),INDEX('hyper-reps-lookup-table'!$B$2:$AE$31,BE33,AZ33+1)*AY33*(36/(37-(BE33+AZ33))),0)</f>
        <v>0</v>
      </c>
      <c r="BP33" s="24">
        <f t="array" ref="BP33">IF(ISNUMBER(BF33),INDEX('hyper-reps-lookup-table'!$B$2:$AE$31,BF33,AZ33+1)*AY33*(36/(37-(BF33+AZ33))),0)</f>
        <v>0</v>
      </c>
      <c r="BQ33" s="24">
        <f t="array" ref="BQ33">IF(ISNUMBER(BG33),INDEX('hyper-reps-lookup-table'!$B$2:$AE$31,BG33,AZ33+1)*AY33*(36/(37-(BG33+AZ33))),0)</f>
        <v>0</v>
      </c>
      <c r="BR33" s="24">
        <f t="array" ref="BR33">IF(ISNUMBER(BH33),INDEX('hyper-reps-lookup-table'!$B$2:$AE$31,BH33,AZ33+1)*AY33*(36/(37-(BH33+AZ33))),0)</f>
        <v>0</v>
      </c>
      <c r="BS33" s="24">
        <f t="array" ref="BS33">IF(ISNUMBER(BI33),INDEX('hyper-reps-lookup-table'!$B$2:$AE$31,BI33,AZ33+1)*AY33*(36/(37-(BI33+AZ33))),0)</f>
        <v>0</v>
      </c>
      <c r="BT33" s="24">
        <f t="array" ref="BT33">IF(ISNUMBER(BJ33),INDEX('hyper-reps-lookup-table'!$B$2:$AE$31,BJ33,AZ33+1)*AY33*(36/(37-(BJ33+AZ33))),0)</f>
        <v>0</v>
      </c>
      <c r="BU33" s="55">
        <f t="shared" si="172"/>
        <v>0</v>
      </c>
      <c r="BV33" s="24">
        <f t="shared" si="173"/>
        <v>0</v>
      </c>
      <c r="BW33" s="24">
        <f t="shared" si="174"/>
        <v>0</v>
      </c>
      <c r="BX33" s="24">
        <f t="shared" si="175"/>
        <v>0</v>
      </c>
      <c r="BY33" s="24">
        <f t="shared" si="176"/>
        <v>0</v>
      </c>
      <c r="BZ33" s="24">
        <f t="shared" si="177"/>
        <v>0</v>
      </c>
      <c r="CA33" s="5">
        <f t="shared" si="178"/>
        <v>0</v>
      </c>
      <c r="CB33" s="5">
        <f t="shared" si="179"/>
        <v>0</v>
      </c>
      <c r="CC33" s="24">
        <f t="shared" si="180"/>
        <v>0</v>
      </c>
      <c r="CD33" s="24">
        <f t="shared" si="181"/>
        <v>0</v>
      </c>
      <c r="CE33" s="4" t="str">
        <f t="shared" si="182"/>
        <v>Lying Pec Flys (RPT) [Trainer+]</v>
      </c>
      <c r="CF33" s="24"/>
      <c r="CG33" s="24">
        <f t="shared" si="183"/>
        <v>3</v>
      </c>
      <c r="CH33" s="23"/>
      <c r="CI33" s="5">
        <f t="shared" si="184"/>
        <v>0</v>
      </c>
      <c r="CJ33" s="5">
        <f t="shared" si="185"/>
        <v>0.5</v>
      </c>
      <c r="CK33" s="23">
        <v>0.0</v>
      </c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24">
        <f t="array" ref="CV33">IF(ISNUMBER(CL33),INDEX('hyper-reps-lookup-table'!$B$2:$AE$31,CL33,CK33+1)*CJ33*(36/(37-(CL33+CK33))),0)</f>
        <v>0</v>
      </c>
      <c r="CW33" s="24">
        <f t="array" ref="CW33">IF(ISNUMBER(CM33),INDEX('hyper-reps-lookup-table'!$B$2:$AE$31,CM33,CK33+1)*CJ33*(36/(37-(CM33+CK33))),0)</f>
        <v>0</v>
      </c>
      <c r="CX33" s="24">
        <f t="array" ref="CX33">IF(ISNUMBER(CN33),INDEX('hyper-reps-lookup-table'!$B$2:$AE$31,CN33,CK33+1)*CJ33*(36/(37-(CN33+CK33))),0)</f>
        <v>0</v>
      </c>
      <c r="CY33" s="24">
        <f t="array" ref="CY33">IF(ISNUMBER(CO33),INDEX('hyper-reps-lookup-table'!$B$2:$AE$31,CO33,CK33+1)*CJ33*(36/(37-(CO33+CK33))),0)</f>
        <v>0</v>
      </c>
      <c r="CZ33" s="24">
        <f t="array" ref="CZ33">IF(ISNUMBER(CP33),INDEX('hyper-reps-lookup-table'!$B$2:$AE$31,CP33,CK33+1)*CJ33*(36/(37-(CP33+CK33))),0)</f>
        <v>0</v>
      </c>
      <c r="DA33" s="24">
        <f t="array" ref="DA33">IF(ISNUMBER(CQ33),INDEX('hyper-reps-lookup-table'!$B$2:$AE$31,CQ33,CK33+1)*CJ33*(36/(37-(CQ33+CK33))),0)</f>
        <v>0</v>
      </c>
      <c r="DB33" s="24">
        <f t="array" ref="DB33">IF(ISNUMBER(CR33),INDEX('hyper-reps-lookup-table'!$B$2:$AE$31,CR33,CK33+1)*CJ33*(36/(37-(CR33+CK33))),0)</f>
        <v>0</v>
      </c>
      <c r="DC33" s="24">
        <f t="array" ref="DC33">IF(ISNUMBER(CS33),INDEX('hyper-reps-lookup-table'!$B$2:$AE$31,CS33,CK33+1)*CJ33*(36/(37-(CS33+CK33))),0)</f>
        <v>0</v>
      </c>
      <c r="DD33" s="24">
        <f t="array" ref="DD33">IF(ISNUMBER(CT33),INDEX('hyper-reps-lookup-table'!$B$2:$AE$31,CT33,CK33+1)*CJ33*(36/(37-(CT33+CK33))),0)</f>
        <v>0</v>
      </c>
      <c r="DE33" s="24">
        <f t="array" ref="DE33">IF(ISNUMBER(CU33),INDEX('hyper-reps-lookup-table'!$B$2:$AE$31,CU33,CK33+1)*CJ33*(36/(37-(CU33+CK33))),0)</f>
        <v>0</v>
      </c>
      <c r="DF33" s="55">
        <f t="shared" si="186"/>
        <v>0</v>
      </c>
      <c r="DG33" s="24">
        <f t="shared" si="187"/>
        <v>0</v>
      </c>
      <c r="DH33" s="24">
        <f t="shared" si="188"/>
        <v>0</v>
      </c>
      <c r="DI33" s="24">
        <f t="shared" si="189"/>
        <v>0</v>
      </c>
      <c r="DJ33" s="24">
        <f t="shared" si="190"/>
        <v>0</v>
      </c>
      <c r="DK33" s="24">
        <f t="shared" si="191"/>
        <v>0</v>
      </c>
      <c r="DL33" s="5">
        <f t="shared" si="192"/>
        <v>0</v>
      </c>
      <c r="DM33" s="5">
        <f t="shared" si="193"/>
        <v>0</v>
      </c>
      <c r="DN33" s="24">
        <f t="shared" si="194"/>
        <v>0</v>
      </c>
      <c r="DO33" s="24">
        <f t="shared" si="195"/>
        <v>0</v>
      </c>
      <c r="DP33" s="4" t="str">
        <f t="shared" si="196"/>
        <v>Lying Pec Flys (RPT) [Trainer+]</v>
      </c>
      <c r="DQ33" s="24"/>
      <c r="DR33" s="24">
        <f t="shared" si="197"/>
        <v>3</v>
      </c>
      <c r="DS33" s="23"/>
      <c r="DT33" s="5">
        <f t="shared" si="198"/>
        <v>0</v>
      </c>
      <c r="DU33" s="5">
        <f t="shared" si="199"/>
        <v>0.5</v>
      </c>
      <c r="DV33" s="23">
        <v>0.0</v>
      </c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24">
        <f t="array" ref="EG33">IF(ISNUMBER(DW33),INDEX('hyper-reps-lookup-table'!$B$2:$AE$31,DW33,DV33+1)*DU33*(36/(37-(DW33+DV33))),0)</f>
        <v>0</v>
      </c>
      <c r="EH33" s="24">
        <f t="array" ref="EH33">IF(ISNUMBER(DX33),INDEX('hyper-reps-lookup-table'!$B$2:$AE$31,DX33,DV33+1)*DU33*(36/(37-(DX33+DV33))),0)</f>
        <v>0</v>
      </c>
      <c r="EI33" s="24">
        <f t="array" ref="EI33">IF(ISNUMBER(DY33),INDEX('hyper-reps-lookup-table'!$B$2:$AE$31,DY33,DV33+1)*DU33*(36/(37-(DY33+DV33))),0)</f>
        <v>0</v>
      </c>
      <c r="EJ33" s="24">
        <f t="array" ref="EJ33">IF(ISNUMBER(DZ33),INDEX('hyper-reps-lookup-table'!$B$2:$AE$31,DZ33,DV33+1)*DU33*(36/(37-(DZ33+DV33))),0)</f>
        <v>0</v>
      </c>
      <c r="EK33" s="24">
        <f t="array" ref="EK33">IF(ISNUMBER(EA33),INDEX('hyper-reps-lookup-table'!$B$2:$AE$31,EA33,DV33+1)*DU33*(36/(37-(EA33+DV33))),0)</f>
        <v>0</v>
      </c>
      <c r="EL33" s="24">
        <f t="array" ref="EL33">IF(ISNUMBER(EB33),INDEX('hyper-reps-lookup-table'!$B$2:$AE$31,EB33,DV33+1)*DU33*(36/(37-(EB33+DV33))),0)</f>
        <v>0</v>
      </c>
      <c r="EM33" s="24">
        <f t="array" ref="EM33">IF(ISNUMBER(EC33),INDEX('hyper-reps-lookup-table'!$B$2:$AE$31,EC33,DV33+1)*DU33*(36/(37-(EC33+DV33))),0)</f>
        <v>0</v>
      </c>
      <c r="EN33" s="24">
        <f t="array" ref="EN33">IF(ISNUMBER(ED33),INDEX('hyper-reps-lookup-table'!$B$2:$AE$31,ED33,DV33+1)*DU33*(36/(37-(ED33+DV33))),0)</f>
        <v>0</v>
      </c>
      <c r="EO33" s="24">
        <f t="array" ref="EO33">IF(ISNUMBER(EE33),INDEX('hyper-reps-lookup-table'!$B$2:$AE$31,EE33,DV33+1)*DU33*(36/(37-(EE33+DV33))),0)</f>
        <v>0</v>
      </c>
      <c r="EP33" s="24">
        <f t="array" ref="EP33">IF(ISNUMBER(EF33),INDEX('hyper-reps-lookup-table'!$B$2:$AE$31,EF33,DV33+1)*DU33*(36/(37-(EF33+DV33))),0)</f>
        <v>0</v>
      </c>
      <c r="EQ33" s="55">
        <f t="shared" si="200"/>
        <v>0</v>
      </c>
      <c r="ER33" s="24">
        <f t="shared" si="201"/>
        <v>0</v>
      </c>
      <c r="ES33" s="24">
        <f t="shared" si="202"/>
        <v>0</v>
      </c>
      <c r="ET33" s="24">
        <f t="shared" si="203"/>
        <v>0</v>
      </c>
      <c r="EU33" s="24">
        <f t="shared" si="204"/>
        <v>0</v>
      </c>
      <c r="EV33" s="24">
        <f t="shared" si="205"/>
        <v>0</v>
      </c>
      <c r="EW33" s="5">
        <f t="shared" si="206"/>
        <v>0</v>
      </c>
      <c r="EX33" s="5">
        <f t="shared" si="207"/>
        <v>0</v>
      </c>
      <c r="EY33" s="24">
        <f t="shared" si="208"/>
        <v>0</v>
      </c>
      <c r="EZ33" s="24">
        <f t="shared" si="209"/>
        <v>0</v>
      </c>
      <c r="FA33" s="14"/>
    </row>
    <row r="34">
      <c r="A34" s="34"/>
      <c r="B34" s="27" t="s">
        <v>61</v>
      </c>
      <c r="C34" s="23">
        <v>100.0</v>
      </c>
      <c r="D34" s="29">
        <v>0.8</v>
      </c>
      <c r="E34" s="29">
        <v>0.85</v>
      </c>
      <c r="F34" s="23">
        <v>3.0</v>
      </c>
      <c r="G34" s="33">
        <v>90.0</v>
      </c>
      <c r="H34" s="33">
        <v>2.5</v>
      </c>
      <c r="I34" s="4" t="str">
        <f t="shared" si="158"/>
        <v>Lat Pulldown (RPT) [Unica]</v>
      </c>
      <c r="J34" s="27">
        <f t="shared" si="159"/>
        <v>2</v>
      </c>
      <c r="K34" s="24">
        <f t="shared" si="160"/>
        <v>2</v>
      </c>
      <c r="L34" s="5"/>
      <c r="M34" s="5">
        <f t="shared" si="161"/>
        <v>80</v>
      </c>
      <c r="N34" s="5">
        <f t="shared" si="162"/>
        <v>80</v>
      </c>
      <c r="O34" s="23">
        <v>0.0</v>
      </c>
      <c r="P34" s="23"/>
      <c r="Q34" s="23"/>
      <c r="R34" s="24"/>
      <c r="S34" s="24"/>
      <c r="T34" s="24"/>
      <c r="U34" s="24"/>
      <c r="V34" s="24"/>
      <c r="W34" s="24"/>
      <c r="X34" s="24"/>
      <c r="Y34" s="24"/>
      <c r="Z34" s="24">
        <f t="array" ref="Z34">IF(ISNUMBER(P34),INDEX('hyper-reps-lookup-table'!$B$2:$AE$31,P34,O34+1)*N34*(36/(37-(P34+O34))),0)</f>
        <v>0</v>
      </c>
      <c r="AA34" s="24">
        <f t="array" ref="AA34">IF(ISNUMBER(Q34),INDEX('hyper-reps-lookup-table'!$B$2:$AE$31,Q34,O34+1)*N34*(36/(37-(Q34+O34))),0)</f>
        <v>0</v>
      </c>
      <c r="AB34" s="24">
        <f t="array" ref="AB34">IF(ISNUMBER(R34),INDEX('hyper-reps-lookup-table'!$B$2:$AE$31,R34,O34+1)*N34*(36/(37-(R34+O34))),0)</f>
        <v>0</v>
      </c>
      <c r="AC34" s="24">
        <f t="array" ref="AC34">IF(ISNUMBER(S34),INDEX('hyper-reps-lookup-table'!$B$2:$AE$31,S34,O34+1)*N34*(36/(37-(S34+O34))),0)</f>
        <v>0</v>
      </c>
      <c r="AD34" s="24">
        <f t="array" ref="AD34">IF(ISNUMBER(T34),INDEX('hyper-reps-lookup-table'!$B$2:$AE$31,T34,O34+1)*N34*(36/(37-(T34+O34))),0)</f>
        <v>0</v>
      </c>
      <c r="AE34" s="24">
        <f t="array" ref="AE34">IF(ISNUMBER(U34),INDEX('hyper-reps-lookup-table'!$B$2:$AE$31,U34,O34+1)*N34*(36/(37-(U34+O34))),0)</f>
        <v>0</v>
      </c>
      <c r="AF34" s="24">
        <f t="array" ref="AF34">IF(ISNUMBER(V34),INDEX('hyper-reps-lookup-table'!$B$2:$AE$31,V34,O34+1)*N34*(36/(37-(V34+O34))),0)</f>
        <v>0</v>
      </c>
      <c r="AG34" s="24">
        <f t="array" ref="AG34">IF(ISNUMBER(W34),INDEX('hyper-reps-lookup-table'!$B$2:$AE$31,W34,O34+1)*N34*(36/(37-(W34+O34))),0)</f>
        <v>0</v>
      </c>
      <c r="AH34" s="24">
        <f t="array" ref="AH34">IF(ISNUMBER(X34),INDEX('hyper-reps-lookup-table'!$B$2:$AE$31,X34,O34+1)*N34*(36/(37-(X34+O34))),0)</f>
        <v>0</v>
      </c>
      <c r="AI34" s="24">
        <f t="array" ref="AI34">IF(ISNUMBER(Y34),INDEX('hyper-reps-lookup-table'!$B$2:$AE$31,Y34,O34+1)*N34*(36/(37-(Y34+O34))),0)</f>
        <v>0</v>
      </c>
      <c r="AJ34" s="55">
        <f t="shared" si="163"/>
        <v>0</v>
      </c>
      <c r="AK34" s="24">
        <f t="shared" si="164"/>
        <v>0</v>
      </c>
      <c r="AL34" s="24">
        <f t="shared" si="165"/>
        <v>0</v>
      </c>
      <c r="AM34" s="24">
        <f t="shared" si="166"/>
        <v>0</v>
      </c>
      <c r="AN34" s="24">
        <v>0.0</v>
      </c>
      <c r="AO34" s="24">
        <v>0.0</v>
      </c>
      <c r="AP34" s="5">
        <v>0.0</v>
      </c>
      <c r="AQ34" s="5">
        <v>0.0</v>
      </c>
      <c r="AR34" s="24">
        <v>0.0</v>
      </c>
      <c r="AS34" s="24">
        <v>0.0</v>
      </c>
      <c r="AT34" s="4" t="str">
        <f t="shared" si="167"/>
        <v>Lat Pulldown (RPT) [Unica]</v>
      </c>
      <c r="AU34" s="24">
        <f t="shared" si="168"/>
        <v>3</v>
      </c>
      <c r="AV34" s="24">
        <f t="shared" si="169"/>
        <v>3</v>
      </c>
      <c r="AW34" s="23"/>
      <c r="AX34" s="5">
        <f t="shared" si="170"/>
        <v>0</v>
      </c>
      <c r="AY34" s="5">
        <f t="shared" si="171"/>
        <v>2.5</v>
      </c>
      <c r="AZ34" s="23">
        <v>0.0</v>
      </c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24">
        <f t="array" ref="BK34">IF(ISNUMBER(BA34),INDEX('hyper-reps-lookup-table'!$B$2:$AE$31,BA34,AZ34+1)*AY34*(36/(37-(BA34+AZ34))),0)</f>
        <v>0</v>
      </c>
      <c r="BL34" s="24">
        <f t="array" ref="BL34">IF(ISNUMBER(BB34),INDEX('hyper-reps-lookup-table'!$B$2:$AE$31,BB34,AZ34+1)*AY34*(36/(37-(BB34+AZ34))),0)</f>
        <v>0</v>
      </c>
      <c r="BM34" s="24">
        <f t="array" ref="BM34">IF(ISNUMBER(BC34),INDEX('hyper-reps-lookup-table'!$B$2:$AE$31,BC34,AZ34+1)*AY34*(36/(37-(BC34+AZ34))),0)</f>
        <v>0</v>
      </c>
      <c r="BN34" s="24">
        <f t="array" ref="BN34">IF(ISNUMBER(BD34),INDEX('hyper-reps-lookup-table'!$B$2:$AE$31,BD34,AZ34+1)*AY34*(36/(37-(BD34+AZ34))),0)</f>
        <v>0</v>
      </c>
      <c r="BO34" s="24">
        <f t="array" ref="BO34">IF(ISNUMBER(BE34),INDEX('hyper-reps-lookup-table'!$B$2:$AE$31,BE34,AZ34+1)*AY34*(36/(37-(BE34+AZ34))),0)</f>
        <v>0</v>
      </c>
      <c r="BP34" s="24">
        <f t="array" ref="BP34">IF(ISNUMBER(BF34),INDEX('hyper-reps-lookup-table'!$B$2:$AE$31,BF34,AZ34+1)*AY34*(36/(37-(BF34+AZ34))),0)</f>
        <v>0</v>
      </c>
      <c r="BQ34" s="24">
        <f t="array" ref="BQ34">IF(ISNUMBER(BG34),INDEX('hyper-reps-lookup-table'!$B$2:$AE$31,BG34,AZ34+1)*AY34*(36/(37-(BG34+AZ34))),0)</f>
        <v>0</v>
      </c>
      <c r="BR34" s="24">
        <f t="array" ref="BR34">IF(ISNUMBER(BH34),INDEX('hyper-reps-lookup-table'!$B$2:$AE$31,BH34,AZ34+1)*AY34*(36/(37-(BH34+AZ34))),0)</f>
        <v>0</v>
      </c>
      <c r="BS34" s="24">
        <f t="array" ref="BS34">IF(ISNUMBER(BI34),INDEX('hyper-reps-lookup-table'!$B$2:$AE$31,BI34,AZ34+1)*AY34*(36/(37-(BI34+AZ34))),0)</f>
        <v>0</v>
      </c>
      <c r="BT34" s="24">
        <f t="array" ref="BT34">IF(ISNUMBER(BJ34),INDEX('hyper-reps-lookup-table'!$B$2:$AE$31,BJ34,AZ34+1)*AY34*(36/(37-(BJ34+AZ34))),0)</f>
        <v>0</v>
      </c>
      <c r="BU34" s="55">
        <f t="shared" si="172"/>
        <v>0</v>
      </c>
      <c r="BV34" s="24">
        <f t="shared" si="173"/>
        <v>0</v>
      </c>
      <c r="BW34" s="24">
        <f t="shared" si="174"/>
        <v>0</v>
      </c>
      <c r="BX34" s="24">
        <f t="shared" si="175"/>
        <v>0</v>
      </c>
      <c r="BY34" s="24">
        <f t="shared" si="176"/>
        <v>0</v>
      </c>
      <c r="BZ34" s="24">
        <f t="shared" si="177"/>
        <v>0</v>
      </c>
      <c r="CA34" s="5">
        <f t="shared" si="178"/>
        <v>0</v>
      </c>
      <c r="CB34" s="5">
        <f t="shared" si="179"/>
        <v>0</v>
      </c>
      <c r="CC34" s="24">
        <f t="shared" si="180"/>
        <v>0</v>
      </c>
      <c r="CD34" s="24">
        <f t="shared" si="181"/>
        <v>0</v>
      </c>
      <c r="CE34" s="4" t="str">
        <f t="shared" si="182"/>
        <v>Lat Pulldown (RPT) [Unica]</v>
      </c>
      <c r="CF34" s="24"/>
      <c r="CG34" s="24">
        <f t="shared" si="183"/>
        <v>3</v>
      </c>
      <c r="CH34" s="23"/>
      <c r="CI34" s="5">
        <f t="shared" si="184"/>
        <v>0</v>
      </c>
      <c r="CJ34" s="5">
        <f t="shared" si="185"/>
        <v>2.5</v>
      </c>
      <c r="CK34" s="23">
        <v>0.0</v>
      </c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24">
        <f t="array" ref="CV34">IF(ISNUMBER(CL34),INDEX('hyper-reps-lookup-table'!$B$2:$AE$31,CL34,CK34+1)*CJ34*(36/(37-(CL34+CK34))),0)</f>
        <v>0</v>
      </c>
      <c r="CW34" s="24">
        <f t="array" ref="CW34">IF(ISNUMBER(CM34),INDEX('hyper-reps-lookup-table'!$B$2:$AE$31,CM34,CK34+1)*CJ34*(36/(37-(CM34+CK34))),0)</f>
        <v>0</v>
      </c>
      <c r="CX34" s="24">
        <f t="array" ref="CX34">IF(ISNUMBER(CN34),INDEX('hyper-reps-lookup-table'!$B$2:$AE$31,CN34,CK34+1)*CJ34*(36/(37-(CN34+CK34))),0)</f>
        <v>0</v>
      </c>
      <c r="CY34" s="24">
        <f t="array" ref="CY34">IF(ISNUMBER(CO34),INDEX('hyper-reps-lookup-table'!$B$2:$AE$31,CO34,CK34+1)*CJ34*(36/(37-(CO34+CK34))),0)</f>
        <v>0</v>
      </c>
      <c r="CZ34" s="24">
        <f t="array" ref="CZ34">IF(ISNUMBER(CP34),INDEX('hyper-reps-lookup-table'!$B$2:$AE$31,CP34,CK34+1)*CJ34*(36/(37-(CP34+CK34))),0)</f>
        <v>0</v>
      </c>
      <c r="DA34" s="24">
        <f t="array" ref="DA34">IF(ISNUMBER(CQ34),INDEX('hyper-reps-lookup-table'!$B$2:$AE$31,CQ34,CK34+1)*CJ34*(36/(37-(CQ34+CK34))),0)</f>
        <v>0</v>
      </c>
      <c r="DB34" s="24">
        <f t="array" ref="DB34">IF(ISNUMBER(CR34),INDEX('hyper-reps-lookup-table'!$B$2:$AE$31,CR34,CK34+1)*CJ34*(36/(37-(CR34+CK34))),0)</f>
        <v>0</v>
      </c>
      <c r="DC34" s="24">
        <f t="array" ref="DC34">IF(ISNUMBER(CS34),INDEX('hyper-reps-lookup-table'!$B$2:$AE$31,CS34,CK34+1)*CJ34*(36/(37-(CS34+CK34))),0)</f>
        <v>0</v>
      </c>
      <c r="DD34" s="24">
        <f t="array" ref="DD34">IF(ISNUMBER(CT34),INDEX('hyper-reps-lookup-table'!$B$2:$AE$31,CT34,CK34+1)*CJ34*(36/(37-(CT34+CK34))),0)</f>
        <v>0</v>
      </c>
      <c r="DE34" s="24">
        <f t="array" ref="DE34">IF(ISNUMBER(CU34),INDEX('hyper-reps-lookup-table'!$B$2:$AE$31,CU34,CK34+1)*CJ34*(36/(37-(CU34+CK34))),0)</f>
        <v>0</v>
      </c>
      <c r="DF34" s="55">
        <f t="shared" si="186"/>
        <v>0</v>
      </c>
      <c r="DG34" s="24">
        <f t="shared" si="187"/>
        <v>0</v>
      </c>
      <c r="DH34" s="24">
        <f t="shared" si="188"/>
        <v>0</v>
      </c>
      <c r="DI34" s="24">
        <f t="shared" si="189"/>
        <v>0</v>
      </c>
      <c r="DJ34" s="24">
        <f t="shared" si="190"/>
        <v>0</v>
      </c>
      <c r="DK34" s="24">
        <f t="shared" si="191"/>
        <v>0</v>
      </c>
      <c r="DL34" s="5">
        <f t="shared" si="192"/>
        <v>0</v>
      </c>
      <c r="DM34" s="5">
        <f t="shared" si="193"/>
        <v>0</v>
      </c>
      <c r="DN34" s="24">
        <f t="shared" si="194"/>
        <v>0</v>
      </c>
      <c r="DO34" s="24">
        <f t="shared" si="195"/>
        <v>0</v>
      </c>
      <c r="DP34" s="4" t="str">
        <f t="shared" si="196"/>
        <v>Lat Pulldown (RPT) [Unica]</v>
      </c>
      <c r="DQ34" s="24"/>
      <c r="DR34" s="24">
        <f t="shared" si="197"/>
        <v>3</v>
      </c>
      <c r="DS34" s="23"/>
      <c r="DT34" s="5">
        <f t="shared" si="198"/>
        <v>0</v>
      </c>
      <c r="DU34" s="5">
        <f t="shared" si="199"/>
        <v>2.5</v>
      </c>
      <c r="DV34" s="23">
        <v>0.0</v>
      </c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24">
        <f t="array" ref="EG34">IF(ISNUMBER(DW34),INDEX('hyper-reps-lookup-table'!$B$2:$AE$31,DW34,DV34+1)*DU34*(36/(37-(DW34+DV34))),0)</f>
        <v>0</v>
      </c>
      <c r="EH34" s="24">
        <f t="array" ref="EH34">IF(ISNUMBER(DX34),INDEX('hyper-reps-lookup-table'!$B$2:$AE$31,DX34,DV34+1)*DU34*(36/(37-(DX34+DV34))),0)</f>
        <v>0</v>
      </c>
      <c r="EI34" s="24">
        <f t="array" ref="EI34">IF(ISNUMBER(DY34),INDEX('hyper-reps-lookup-table'!$B$2:$AE$31,DY34,DV34+1)*DU34*(36/(37-(DY34+DV34))),0)</f>
        <v>0</v>
      </c>
      <c r="EJ34" s="24">
        <f t="array" ref="EJ34">IF(ISNUMBER(DZ34),INDEX('hyper-reps-lookup-table'!$B$2:$AE$31,DZ34,DV34+1)*DU34*(36/(37-(DZ34+DV34))),0)</f>
        <v>0</v>
      </c>
      <c r="EK34" s="24">
        <f t="array" ref="EK34">IF(ISNUMBER(EA34),INDEX('hyper-reps-lookup-table'!$B$2:$AE$31,EA34,DV34+1)*DU34*(36/(37-(EA34+DV34))),0)</f>
        <v>0</v>
      </c>
      <c r="EL34" s="24">
        <f t="array" ref="EL34">IF(ISNUMBER(EB34),INDEX('hyper-reps-lookup-table'!$B$2:$AE$31,EB34,DV34+1)*DU34*(36/(37-(EB34+DV34))),0)</f>
        <v>0</v>
      </c>
      <c r="EM34" s="24">
        <f t="array" ref="EM34">IF(ISNUMBER(EC34),INDEX('hyper-reps-lookup-table'!$B$2:$AE$31,EC34,DV34+1)*DU34*(36/(37-(EC34+DV34))),0)</f>
        <v>0</v>
      </c>
      <c r="EN34" s="24">
        <f t="array" ref="EN34">IF(ISNUMBER(ED34),INDEX('hyper-reps-lookup-table'!$B$2:$AE$31,ED34,DV34+1)*DU34*(36/(37-(ED34+DV34))),0)</f>
        <v>0</v>
      </c>
      <c r="EO34" s="24">
        <f t="array" ref="EO34">IF(ISNUMBER(EE34),INDEX('hyper-reps-lookup-table'!$B$2:$AE$31,EE34,DV34+1)*DU34*(36/(37-(EE34+DV34))),0)</f>
        <v>0</v>
      </c>
      <c r="EP34" s="24">
        <f t="array" ref="EP34">IF(ISNUMBER(EF34),INDEX('hyper-reps-lookup-table'!$B$2:$AE$31,EF34,DV34+1)*DU34*(36/(37-(EF34+DV34))),0)</f>
        <v>0</v>
      </c>
      <c r="EQ34" s="55">
        <f t="shared" si="200"/>
        <v>0</v>
      </c>
      <c r="ER34" s="24">
        <f t="shared" si="201"/>
        <v>0</v>
      </c>
      <c r="ES34" s="24">
        <f t="shared" si="202"/>
        <v>0</v>
      </c>
      <c r="ET34" s="24">
        <f t="shared" si="203"/>
        <v>0</v>
      </c>
      <c r="EU34" s="24">
        <f t="shared" si="204"/>
        <v>0</v>
      </c>
      <c r="EV34" s="24">
        <f t="shared" si="205"/>
        <v>0</v>
      </c>
      <c r="EW34" s="5">
        <f t="shared" si="206"/>
        <v>0</v>
      </c>
      <c r="EX34" s="5">
        <f t="shared" si="207"/>
        <v>0</v>
      </c>
      <c r="EY34" s="24">
        <f t="shared" si="208"/>
        <v>0</v>
      </c>
      <c r="EZ34" s="24">
        <f t="shared" si="209"/>
        <v>0</v>
      </c>
      <c r="FA34" s="14"/>
    </row>
    <row r="35">
      <c r="A35" s="34"/>
      <c r="B35" s="27" t="s">
        <v>62</v>
      </c>
      <c r="C35" s="23">
        <v>100.0</v>
      </c>
      <c r="D35" s="29">
        <v>0.75</v>
      </c>
      <c r="E35" s="29">
        <v>0.8</v>
      </c>
      <c r="F35" s="23">
        <v>4.0</v>
      </c>
      <c r="G35" s="33">
        <v>180.0</v>
      </c>
      <c r="H35" s="33">
        <v>0.5</v>
      </c>
      <c r="I35" s="4" t="str">
        <f t="shared" si="158"/>
        <v>Lateral Raise (RPT) [Trainer+]</v>
      </c>
      <c r="J35" s="27">
        <f t="shared" ref="J35:J38" si="210">MAX(ROUND($F35*50%,0),1)</f>
        <v>2</v>
      </c>
      <c r="K35" s="24">
        <f t="shared" si="160"/>
        <v>2</v>
      </c>
      <c r="L35" s="5"/>
      <c r="M35" s="5">
        <f t="shared" si="161"/>
        <v>75</v>
      </c>
      <c r="N35" s="5">
        <f t="shared" si="162"/>
        <v>75</v>
      </c>
      <c r="O35" s="23">
        <v>0.0</v>
      </c>
      <c r="P35" s="23"/>
      <c r="Q35" s="23"/>
      <c r="R35" s="24"/>
      <c r="S35" s="24"/>
      <c r="T35" s="24"/>
      <c r="U35" s="24"/>
      <c r="V35" s="24"/>
      <c r="W35" s="24"/>
      <c r="X35" s="24"/>
      <c r="Y35" s="24"/>
      <c r="Z35" s="24">
        <f t="array" ref="Z35">IF(ISNUMBER(P35),INDEX('hyper-reps-lookup-table'!$B$2:$AE$31,P35,O35+1)*N35*(36/(37-(P35+O35))),0)</f>
        <v>0</v>
      </c>
      <c r="AA35" s="24">
        <f t="array" ref="AA35">IF(ISNUMBER(Q35),INDEX('hyper-reps-lookup-table'!$B$2:$AE$31,Q35,O35+1)*N35*(36/(37-(Q35+O35))),0)</f>
        <v>0</v>
      </c>
      <c r="AB35" s="24">
        <f t="array" ref="AB35">IF(ISNUMBER(R35),INDEX('hyper-reps-lookup-table'!$B$2:$AE$31,R35,O35+1)*N35*(36/(37-(R35+O35))),0)</f>
        <v>0</v>
      </c>
      <c r="AC35" s="24">
        <f t="array" ref="AC35">IF(ISNUMBER(S35),INDEX('hyper-reps-lookup-table'!$B$2:$AE$31,S35,O35+1)*N35*(36/(37-(S35+O35))),0)</f>
        <v>0</v>
      </c>
      <c r="AD35" s="24">
        <f t="array" ref="AD35">IF(ISNUMBER(T35),INDEX('hyper-reps-lookup-table'!$B$2:$AE$31,T35,O35+1)*N35*(36/(37-(T35+O35))),0)</f>
        <v>0</v>
      </c>
      <c r="AE35" s="24">
        <f t="array" ref="AE35">IF(ISNUMBER(U35),INDEX('hyper-reps-lookup-table'!$B$2:$AE$31,U35,O35+1)*N35*(36/(37-(U35+O35))),0)</f>
        <v>0</v>
      </c>
      <c r="AF35" s="24">
        <f t="array" ref="AF35">IF(ISNUMBER(V35),INDEX('hyper-reps-lookup-table'!$B$2:$AE$31,V35,O35+1)*N35*(36/(37-(V35+O35))),0)</f>
        <v>0</v>
      </c>
      <c r="AG35" s="24">
        <f t="array" ref="AG35">IF(ISNUMBER(W35),INDEX('hyper-reps-lookup-table'!$B$2:$AE$31,W35,O35+1)*N35*(36/(37-(W35+O35))),0)</f>
        <v>0</v>
      </c>
      <c r="AH35" s="24">
        <f t="array" ref="AH35">IF(ISNUMBER(X35),INDEX('hyper-reps-lookup-table'!$B$2:$AE$31,X35,O35+1)*N35*(36/(37-(X35+O35))),0)</f>
        <v>0</v>
      </c>
      <c r="AI35" s="24">
        <f t="array" ref="AI35">IF(ISNUMBER(Y35),INDEX('hyper-reps-lookup-table'!$B$2:$AE$31,Y35,O35+1)*N35*(36/(37-(Y35+O35))),0)</f>
        <v>0</v>
      </c>
      <c r="AJ35" s="55">
        <f t="shared" si="163"/>
        <v>0</v>
      </c>
      <c r="AK35" s="24">
        <f t="shared" si="164"/>
        <v>0</v>
      </c>
      <c r="AL35" s="24">
        <f t="shared" si="165"/>
        <v>0</v>
      </c>
      <c r="AM35" s="24">
        <f t="shared" si="166"/>
        <v>0</v>
      </c>
      <c r="AN35" s="24">
        <v>0.0</v>
      </c>
      <c r="AO35" s="24">
        <v>0.0</v>
      </c>
      <c r="AP35" s="5">
        <v>0.0</v>
      </c>
      <c r="AQ35" s="5">
        <v>0.0</v>
      </c>
      <c r="AR35" s="24">
        <v>0.0</v>
      </c>
      <c r="AS35" s="24">
        <v>0.0</v>
      </c>
      <c r="AT35" s="4" t="str">
        <f t="shared" si="167"/>
        <v>Lateral Raise (RPT) [Trainer+]</v>
      </c>
      <c r="AU35" s="24">
        <f t="shared" si="168"/>
        <v>4</v>
      </c>
      <c r="AV35" s="24">
        <f t="shared" si="169"/>
        <v>4</v>
      </c>
      <c r="AW35" s="23"/>
      <c r="AX35" s="5">
        <f t="shared" si="170"/>
        <v>0</v>
      </c>
      <c r="AY35" s="5">
        <f t="shared" si="171"/>
        <v>0.5</v>
      </c>
      <c r="AZ35" s="23">
        <v>0.0</v>
      </c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24">
        <f t="array" ref="BK35">IF(ISNUMBER(BA35),INDEX('hyper-reps-lookup-table'!$B$2:$AE$31,BA35,AZ35+1)*AY35*(36/(37-(BA35+AZ35))),0)</f>
        <v>0</v>
      </c>
      <c r="BL35" s="24">
        <f t="array" ref="BL35">IF(ISNUMBER(BB35),INDEX('hyper-reps-lookup-table'!$B$2:$AE$31,BB35,AZ35+1)*AY35*(36/(37-(BB35+AZ35))),0)</f>
        <v>0</v>
      </c>
      <c r="BM35" s="24">
        <f t="array" ref="BM35">IF(ISNUMBER(BC35),INDEX('hyper-reps-lookup-table'!$B$2:$AE$31,BC35,AZ35+1)*AY35*(36/(37-(BC35+AZ35))),0)</f>
        <v>0</v>
      </c>
      <c r="BN35" s="24">
        <f t="array" ref="BN35">IF(ISNUMBER(BD35),INDEX('hyper-reps-lookup-table'!$B$2:$AE$31,BD35,AZ35+1)*AY35*(36/(37-(BD35+AZ35))),0)</f>
        <v>0</v>
      </c>
      <c r="BO35" s="24">
        <f t="array" ref="BO35">IF(ISNUMBER(BE35),INDEX('hyper-reps-lookup-table'!$B$2:$AE$31,BE35,AZ35+1)*AY35*(36/(37-(BE35+AZ35))),0)</f>
        <v>0</v>
      </c>
      <c r="BP35" s="24">
        <f t="array" ref="BP35">IF(ISNUMBER(BF35),INDEX('hyper-reps-lookup-table'!$B$2:$AE$31,BF35,AZ35+1)*AY35*(36/(37-(BF35+AZ35))),0)</f>
        <v>0</v>
      </c>
      <c r="BQ35" s="24">
        <f t="array" ref="BQ35">IF(ISNUMBER(BG35),INDEX('hyper-reps-lookup-table'!$B$2:$AE$31,BG35,AZ35+1)*AY35*(36/(37-(BG35+AZ35))),0)</f>
        <v>0</v>
      </c>
      <c r="BR35" s="24">
        <f t="array" ref="BR35">IF(ISNUMBER(BH35),INDEX('hyper-reps-lookup-table'!$B$2:$AE$31,BH35,AZ35+1)*AY35*(36/(37-(BH35+AZ35))),0)</f>
        <v>0</v>
      </c>
      <c r="BS35" s="24">
        <f t="array" ref="BS35">IF(ISNUMBER(BI35),INDEX('hyper-reps-lookup-table'!$B$2:$AE$31,BI35,AZ35+1)*AY35*(36/(37-(BI35+AZ35))),0)</f>
        <v>0</v>
      </c>
      <c r="BT35" s="24">
        <f t="array" ref="BT35">IF(ISNUMBER(BJ35),INDEX('hyper-reps-lookup-table'!$B$2:$AE$31,BJ35,AZ35+1)*AY35*(36/(37-(BJ35+AZ35))),0)</f>
        <v>0</v>
      </c>
      <c r="BU35" s="55">
        <f t="shared" si="172"/>
        <v>0</v>
      </c>
      <c r="BV35" s="24">
        <f t="shared" si="173"/>
        <v>0</v>
      </c>
      <c r="BW35" s="24">
        <f t="shared" si="174"/>
        <v>0</v>
      </c>
      <c r="BX35" s="24">
        <f t="shared" si="175"/>
        <v>0</v>
      </c>
      <c r="BY35" s="24">
        <f t="shared" si="176"/>
        <v>0</v>
      </c>
      <c r="BZ35" s="24">
        <f t="shared" si="177"/>
        <v>0</v>
      </c>
      <c r="CA35" s="5">
        <f t="shared" si="178"/>
        <v>0</v>
      </c>
      <c r="CB35" s="5">
        <f t="shared" si="179"/>
        <v>0</v>
      </c>
      <c r="CC35" s="24">
        <f t="shared" si="180"/>
        <v>0</v>
      </c>
      <c r="CD35" s="24">
        <f t="shared" si="181"/>
        <v>0</v>
      </c>
      <c r="CE35" s="4" t="str">
        <f t="shared" si="182"/>
        <v>Lateral Raise (RPT) [Trainer+]</v>
      </c>
      <c r="CF35" s="24"/>
      <c r="CG35" s="24">
        <f t="shared" si="183"/>
        <v>4</v>
      </c>
      <c r="CH35" s="23"/>
      <c r="CI35" s="5">
        <f t="shared" si="184"/>
        <v>0</v>
      </c>
      <c r="CJ35" s="5">
        <f t="shared" si="185"/>
        <v>0.5</v>
      </c>
      <c r="CK35" s="23">
        <v>0.0</v>
      </c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24">
        <f t="array" ref="CV35">IF(ISNUMBER(CL35),INDEX('hyper-reps-lookup-table'!$B$2:$AE$31,CL35,CK35+1)*CJ35*(36/(37-(CL35+CK35))),0)</f>
        <v>0</v>
      </c>
      <c r="CW35" s="24">
        <f t="array" ref="CW35">IF(ISNUMBER(CM35),INDEX('hyper-reps-lookup-table'!$B$2:$AE$31,CM35,CK35+1)*CJ35*(36/(37-(CM35+CK35))),0)</f>
        <v>0</v>
      </c>
      <c r="CX35" s="24">
        <f t="array" ref="CX35">IF(ISNUMBER(CN35),INDEX('hyper-reps-lookup-table'!$B$2:$AE$31,CN35,CK35+1)*CJ35*(36/(37-(CN35+CK35))),0)</f>
        <v>0</v>
      </c>
      <c r="CY35" s="24">
        <f t="array" ref="CY35">IF(ISNUMBER(CO35),INDEX('hyper-reps-lookup-table'!$B$2:$AE$31,CO35,CK35+1)*CJ35*(36/(37-(CO35+CK35))),0)</f>
        <v>0</v>
      </c>
      <c r="CZ35" s="24">
        <f t="array" ref="CZ35">IF(ISNUMBER(CP35),INDEX('hyper-reps-lookup-table'!$B$2:$AE$31,CP35,CK35+1)*CJ35*(36/(37-(CP35+CK35))),0)</f>
        <v>0</v>
      </c>
      <c r="DA35" s="24">
        <f t="array" ref="DA35">IF(ISNUMBER(CQ35),INDEX('hyper-reps-lookup-table'!$B$2:$AE$31,CQ35,CK35+1)*CJ35*(36/(37-(CQ35+CK35))),0)</f>
        <v>0</v>
      </c>
      <c r="DB35" s="24">
        <f t="array" ref="DB35">IF(ISNUMBER(CR35),INDEX('hyper-reps-lookup-table'!$B$2:$AE$31,CR35,CK35+1)*CJ35*(36/(37-(CR35+CK35))),0)</f>
        <v>0</v>
      </c>
      <c r="DC35" s="24">
        <f t="array" ref="DC35">IF(ISNUMBER(CS35),INDEX('hyper-reps-lookup-table'!$B$2:$AE$31,CS35,CK35+1)*CJ35*(36/(37-(CS35+CK35))),0)</f>
        <v>0</v>
      </c>
      <c r="DD35" s="24">
        <f t="array" ref="DD35">IF(ISNUMBER(CT35),INDEX('hyper-reps-lookup-table'!$B$2:$AE$31,CT35,CK35+1)*CJ35*(36/(37-(CT35+CK35))),0)</f>
        <v>0</v>
      </c>
      <c r="DE35" s="24">
        <f t="array" ref="DE35">IF(ISNUMBER(CU35),INDEX('hyper-reps-lookup-table'!$B$2:$AE$31,CU35,CK35+1)*CJ35*(36/(37-(CU35+CK35))),0)</f>
        <v>0</v>
      </c>
      <c r="DF35" s="55">
        <f t="shared" si="186"/>
        <v>0</v>
      </c>
      <c r="DG35" s="24">
        <f t="shared" si="187"/>
        <v>0</v>
      </c>
      <c r="DH35" s="24">
        <f t="shared" si="188"/>
        <v>0</v>
      </c>
      <c r="DI35" s="24">
        <f t="shared" si="189"/>
        <v>0</v>
      </c>
      <c r="DJ35" s="24">
        <f t="shared" si="190"/>
        <v>0</v>
      </c>
      <c r="DK35" s="24">
        <f t="shared" si="191"/>
        <v>0</v>
      </c>
      <c r="DL35" s="5">
        <f t="shared" si="192"/>
        <v>0</v>
      </c>
      <c r="DM35" s="5">
        <f t="shared" si="193"/>
        <v>0</v>
      </c>
      <c r="DN35" s="24">
        <f t="shared" si="194"/>
        <v>0</v>
      </c>
      <c r="DO35" s="24">
        <f t="shared" si="195"/>
        <v>0</v>
      </c>
      <c r="DP35" s="4" t="str">
        <f t="shared" si="196"/>
        <v>Lateral Raise (RPT) [Trainer+]</v>
      </c>
      <c r="DQ35" s="24"/>
      <c r="DR35" s="24">
        <f t="shared" si="197"/>
        <v>4</v>
      </c>
      <c r="DS35" s="23"/>
      <c r="DT35" s="5">
        <f t="shared" si="198"/>
        <v>0</v>
      </c>
      <c r="DU35" s="5">
        <f t="shared" si="199"/>
        <v>0.5</v>
      </c>
      <c r="DV35" s="23">
        <v>0.0</v>
      </c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24">
        <f t="array" ref="EG35">IF(ISNUMBER(DW35),INDEX('hyper-reps-lookup-table'!$B$2:$AE$31,DW35,DV35+1)*DU35*(36/(37-(DW35+DV35))),0)</f>
        <v>0</v>
      </c>
      <c r="EH35" s="24">
        <f t="array" ref="EH35">IF(ISNUMBER(DX35),INDEX('hyper-reps-lookup-table'!$B$2:$AE$31,DX35,DV35+1)*DU35*(36/(37-(DX35+DV35))),0)</f>
        <v>0</v>
      </c>
      <c r="EI35" s="24">
        <f t="array" ref="EI35">IF(ISNUMBER(DY35),INDEX('hyper-reps-lookup-table'!$B$2:$AE$31,DY35,DV35+1)*DU35*(36/(37-(DY35+DV35))),0)</f>
        <v>0</v>
      </c>
      <c r="EJ35" s="24">
        <f t="array" ref="EJ35">IF(ISNUMBER(DZ35),INDEX('hyper-reps-lookup-table'!$B$2:$AE$31,DZ35,DV35+1)*DU35*(36/(37-(DZ35+DV35))),0)</f>
        <v>0</v>
      </c>
      <c r="EK35" s="24">
        <f t="array" ref="EK35">IF(ISNUMBER(EA35),INDEX('hyper-reps-lookup-table'!$B$2:$AE$31,EA35,DV35+1)*DU35*(36/(37-(EA35+DV35))),0)</f>
        <v>0</v>
      </c>
      <c r="EL35" s="24">
        <f t="array" ref="EL35">IF(ISNUMBER(EB35),INDEX('hyper-reps-lookup-table'!$B$2:$AE$31,EB35,DV35+1)*DU35*(36/(37-(EB35+DV35))),0)</f>
        <v>0</v>
      </c>
      <c r="EM35" s="24">
        <f t="array" ref="EM35">IF(ISNUMBER(EC35),INDEX('hyper-reps-lookup-table'!$B$2:$AE$31,EC35,DV35+1)*DU35*(36/(37-(EC35+DV35))),0)</f>
        <v>0</v>
      </c>
      <c r="EN35" s="24">
        <f t="array" ref="EN35">IF(ISNUMBER(ED35),INDEX('hyper-reps-lookup-table'!$B$2:$AE$31,ED35,DV35+1)*DU35*(36/(37-(ED35+DV35))),0)</f>
        <v>0</v>
      </c>
      <c r="EO35" s="24">
        <f t="array" ref="EO35">IF(ISNUMBER(EE35),INDEX('hyper-reps-lookup-table'!$B$2:$AE$31,EE35,DV35+1)*DU35*(36/(37-(EE35+DV35))),0)</f>
        <v>0</v>
      </c>
      <c r="EP35" s="24">
        <f t="array" ref="EP35">IF(ISNUMBER(EF35),INDEX('hyper-reps-lookup-table'!$B$2:$AE$31,EF35,DV35+1)*DU35*(36/(37-(EF35+DV35))),0)</f>
        <v>0</v>
      </c>
      <c r="EQ35" s="55">
        <f t="shared" si="200"/>
        <v>0</v>
      </c>
      <c r="ER35" s="24">
        <f t="shared" si="201"/>
        <v>0</v>
      </c>
      <c r="ES35" s="24">
        <f t="shared" si="202"/>
        <v>0</v>
      </c>
      <c r="ET35" s="24">
        <f t="shared" si="203"/>
        <v>0</v>
      </c>
      <c r="EU35" s="24">
        <f t="shared" si="204"/>
        <v>0</v>
      </c>
      <c r="EV35" s="24">
        <f t="shared" si="205"/>
        <v>0</v>
      </c>
      <c r="EW35" s="5">
        <f t="shared" si="206"/>
        <v>0</v>
      </c>
      <c r="EX35" s="5">
        <f t="shared" si="207"/>
        <v>0</v>
      </c>
      <c r="EY35" s="24">
        <f t="shared" si="208"/>
        <v>0</v>
      </c>
      <c r="EZ35" s="24">
        <f t="shared" si="209"/>
        <v>0</v>
      </c>
      <c r="FA35" s="14"/>
    </row>
    <row r="36">
      <c r="A36" s="34"/>
      <c r="B36" s="27" t="s">
        <v>63</v>
      </c>
      <c r="C36" s="23">
        <v>100.0</v>
      </c>
      <c r="D36" s="29">
        <v>0.8</v>
      </c>
      <c r="E36" s="29">
        <v>0.85</v>
      </c>
      <c r="F36" s="23">
        <v>4.0</v>
      </c>
      <c r="G36" s="33">
        <v>90.0</v>
      </c>
      <c r="H36" s="33">
        <v>2.5</v>
      </c>
      <c r="I36" s="4" t="str">
        <f t="shared" si="158"/>
        <v>Rope Seated Face Pull (RPT) [Unica]</v>
      </c>
      <c r="J36" s="27">
        <f t="shared" si="210"/>
        <v>2</v>
      </c>
      <c r="K36" s="24">
        <f t="shared" si="160"/>
        <v>2</v>
      </c>
      <c r="L36" s="5"/>
      <c r="M36" s="5">
        <f t="shared" si="161"/>
        <v>80</v>
      </c>
      <c r="N36" s="5">
        <f t="shared" si="162"/>
        <v>80</v>
      </c>
      <c r="O36" s="23">
        <v>0.0</v>
      </c>
      <c r="P36" s="23"/>
      <c r="Q36" s="23"/>
      <c r="R36" s="24"/>
      <c r="S36" s="24"/>
      <c r="T36" s="24"/>
      <c r="U36" s="24"/>
      <c r="V36" s="24"/>
      <c r="W36" s="24"/>
      <c r="X36" s="24"/>
      <c r="Y36" s="24"/>
      <c r="Z36" s="24">
        <f t="array" ref="Z36">IF(ISNUMBER(P36),INDEX('hyper-reps-lookup-table'!$B$2:$AE$31,P36,O36+1)*N36*(36/(37-(P36+O36))),0)</f>
        <v>0</v>
      </c>
      <c r="AA36" s="24">
        <f t="array" ref="AA36">IF(ISNUMBER(Q36),INDEX('hyper-reps-lookup-table'!$B$2:$AE$31,Q36,O36+1)*N36*(36/(37-(Q36+O36))),0)</f>
        <v>0</v>
      </c>
      <c r="AB36" s="24">
        <f t="array" ref="AB36">IF(ISNUMBER(R36),INDEX('hyper-reps-lookup-table'!$B$2:$AE$31,R36,O36+1)*N36*(36/(37-(R36+O36))),0)</f>
        <v>0</v>
      </c>
      <c r="AC36" s="24">
        <f t="array" ref="AC36">IF(ISNUMBER(S36),INDEX('hyper-reps-lookup-table'!$B$2:$AE$31,S36,O36+1)*N36*(36/(37-(S36+O36))),0)</f>
        <v>0</v>
      </c>
      <c r="AD36" s="24">
        <f t="array" ref="AD36">IF(ISNUMBER(T36),INDEX('hyper-reps-lookup-table'!$B$2:$AE$31,T36,O36+1)*N36*(36/(37-(T36+O36))),0)</f>
        <v>0</v>
      </c>
      <c r="AE36" s="24">
        <f t="array" ref="AE36">IF(ISNUMBER(U36),INDEX('hyper-reps-lookup-table'!$B$2:$AE$31,U36,O36+1)*N36*(36/(37-(U36+O36))),0)</f>
        <v>0</v>
      </c>
      <c r="AF36" s="24">
        <f t="array" ref="AF36">IF(ISNUMBER(V36),INDEX('hyper-reps-lookup-table'!$B$2:$AE$31,V36,O36+1)*N36*(36/(37-(V36+O36))),0)</f>
        <v>0</v>
      </c>
      <c r="AG36" s="24">
        <f t="array" ref="AG36">IF(ISNUMBER(W36),INDEX('hyper-reps-lookup-table'!$B$2:$AE$31,W36,O36+1)*N36*(36/(37-(W36+O36))),0)</f>
        <v>0</v>
      </c>
      <c r="AH36" s="24">
        <f t="array" ref="AH36">IF(ISNUMBER(X36),INDEX('hyper-reps-lookup-table'!$B$2:$AE$31,X36,O36+1)*N36*(36/(37-(X36+O36))),0)</f>
        <v>0</v>
      </c>
      <c r="AI36" s="24">
        <f t="array" ref="AI36">IF(ISNUMBER(Y36),INDEX('hyper-reps-lookup-table'!$B$2:$AE$31,Y36,O36+1)*N36*(36/(37-(Y36+O36))),0)</f>
        <v>0</v>
      </c>
      <c r="AJ36" s="55">
        <f t="shared" si="163"/>
        <v>0</v>
      </c>
      <c r="AK36" s="24">
        <f t="shared" si="164"/>
        <v>0</v>
      </c>
      <c r="AL36" s="24">
        <f t="shared" si="165"/>
        <v>0</v>
      </c>
      <c r="AM36" s="24">
        <f t="shared" si="166"/>
        <v>0</v>
      </c>
      <c r="AN36" s="24">
        <v>0.0</v>
      </c>
      <c r="AO36" s="24">
        <v>0.0</v>
      </c>
      <c r="AP36" s="5">
        <v>0.0</v>
      </c>
      <c r="AQ36" s="5">
        <v>0.0</v>
      </c>
      <c r="AR36" s="24">
        <v>0.0</v>
      </c>
      <c r="AS36" s="24">
        <v>0.0</v>
      </c>
      <c r="AT36" s="4" t="str">
        <f t="shared" si="167"/>
        <v>Rope Seated Face Pull (RPT) [Unica]</v>
      </c>
      <c r="AU36" s="24">
        <f t="shared" si="168"/>
        <v>4</v>
      </c>
      <c r="AV36" s="24">
        <f t="shared" si="169"/>
        <v>4</v>
      </c>
      <c r="AW36" s="23"/>
      <c r="AX36" s="5">
        <f t="shared" si="170"/>
        <v>0</v>
      </c>
      <c r="AY36" s="5">
        <f t="shared" si="171"/>
        <v>2.5</v>
      </c>
      <c r="AZ36" s="23">
        <v>0.0</v>
      </c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24">
        <f t="array" ref="BK36">IF(ISNUMBER(BA36),INDEX('hyper-reps-lookup-table'!$B$2:$AE$31,BA36,AZ36+1)*AY36*(36/(37-(BA36+AZ36))),0)</f>
        <v>0</v>
      </c>
      <c r="BL36" s="24">
        <f t="array" ref="BL36">IF(ISNUMBER(BB36),INDEX('hyper-reps-lookup-table'!$B$2:$AE$31,BB36,AZ36+1)*AY36*(36/(37-(BB36+AZ36))),0)</f>
        <v>0</v>
      </c>
      <c r="BM36" s="24">
        <f t="array" ref="BM36">IF(ISNUMBER(BC36),INDEX('hyper-reps-lookup-table'!$B$2:$AE$31,BC36,AZ36+1)*AY36*(36/(37-(BC36+AZ36))),0)</f>
        <v>0</v>
      </c>
      <c r="BN36" s="24">
        <f t="array" ref="BN36">IF(ISNUMBER(BD36),INDEX('hyper-reps-lookup-table'!$B$2:$AE$31,BD36,AZ36+1)*AY36*(36/(37-(BD36+AZ36))),0)</f>
        <v>0</v>
      </c>
      <c r="BO36" s="24">
        <f t="array" ref="BO36">IF(ISNUMBER(BE36),INDEX('hyper-reps-lookup-table'!$B$2:$AE$31,BE36,AZ36+1)*AY36*(36/(37-(BE36+AZ36))),0)</f>
        <v>0</v>
      </c>
      <c r="BP36" s="24">
        <f t="array" ref="BP36">IF(ISNUMBER(BF36),INDEX('hyper-reps-lookup-table'!$B$2:$AE$31,BF36,AZ36+1)*AY36*(36/(37-(BF36+AZ36))),0)</f>
        <v>0</v>
      </c>
      <c r="BQ36" s="24">
        <f t="array" ref="BQ36">IF(ISNUMBER(BG36),INDEX('hyper-reps-lookup-table'!$B$2:$AE$31,BG36,AZ36+1)*AY36*(36/(37-(BG36+AZ36))),0)</f>
        <v>0</v>
      </c>
      <c r="BR36" s="24">
        <f t="array" ref="BR36">IF(ISNUMBER(BH36),INDEX('hyper-reps-lookup-table'!$B$2:$AE$31,BH36,AZ36+1)*AY36*(36/(37-(BH36+AZ36))),0)</f>
        <v>0</v>
      </c>
      <c r="BS36" s="24">
        <f t="array" ref="BS36">IF(ISNUMBER(BI36),INDEX('hyper-reps-lookup-table'!$B$2:$AE$31,BI36,AZ36+1)*AY36*(36/(37-(BI36+AZ36))),0)</f>
        <v>0</v>
      </c>
      <c r="BT36" s="24">
        <f t="array" ref="BT36">IF(ISNUMBER(BJ36),INDEX('hyper-reps-lookup-table'!$B$2:$AE$31,BJ36,AZ36+1)*AY36*(36/(37-(BJ36+AZ36))),0)</f>
        <v>0</v>
      </c>
      <c r="BU36" s="55">
        <f t="shared" si="172"/>
        <v>0</v>
      </c>
      <c r="BV36" s="24">
        <f t="shared" si="173"/>
        <v>0</v>
      </c>
      <c r="BW36" s="24">
        <f t="shared" si="174"/>
        <v>0</v>
      </c>
      <c r="BX36" s="24">
        <f t="shared" si="175"/>
        <v>0</v>
      </c>
      <c r="BY36" s="24">
        <f t="shared" si="176"/>
        <v>0</v>
      </c>
      <c r="BZ36" s="24">
        <f t="shared" si="177"/>
        <v>0</v>
      </c>
      <c r="CA36" s="5">
        <f t="shared" si="178"/>
        <v>0</v>
      </c>
      <c r="CB36" s="5">
        <f t="shared" si="179"/>
        <v>0</v>
      </c>
      <c r="CC36" s="24">
        <f t="shared" si="180"/>
        <v>0</v>
      </c>
      <c r="CD36" s="24">
        <f t="shared" si="181"/>
        <v>0</v>
      </c>
      <c r="CE36" s="4" t="str">
        <f t="shared" si="182"/>
        <v>Rope Seated Face Pull (RPT) [Unica]</v>
      </c>
      <c r="CF36" s="24"/>
      <c r="CG36" s="24">
        <f t="shared" si="183"/>
        <v>4</v>
      </c>
      <c r="CH36" s="23"/>
      <c r="CI36" s="5">
        <f t="shared" si="184"/>
        <v>0</v>
      </c>
      <c r="CJ36" s="5">
        <f t="shared" si="185"/>
        <v>2.5</v>
      </c>
      <c r="CK36" s="23">
        <v>0.0</v>
      </c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24">
        <f t="array" ref="CV36">IF(ISNUMBER(CL36),INDEX('hyper-reps-lookup-table'!$B$2:$AE$31,CL36,CK36+1)*CJ36*(36/(37-(CL36+CK36))),0)</f>
        <v>0</v>
      </c>
      <c r="CW36" s="24">
        <f t="array" ref="CW36">IF(ISNUMBER(CM36),INDEX('hyper-reps-lookup-table'!$B$2:$AE$31,CM36,CK36+1)*CJ36*(36/(37-(CM36+CK36))),0)</f>
        <v>0</v>
      </c>
      <c r="CX36" s="24">
        <f t="array" ref="CX36">IF(ISNUMBER(CN36),INDEX('hyper-reps-lookup-table'!$B$2:$AE$31,CN36,CK36+1)*CJ36*(36/(37-(CN36+CK36))),0)</f>
        <v>0</v>
      </c>
      <c r="CY36" s="24">
        <f t="array" ref="CY36">IF(ISNUMBER(CO36),INDEX('hyper-reps-lookup-table'!$B$2:$AE$31,CO36,CK36+1)*CJ36*(36/(37-(CO36+CK36))),0)</f>
        <v>0</v>
      </c>
      <c r="CZ36" s="24">
        <f t="array" ref="CZ36">IF(ISNUMBER(CP36),INDEX('hyper-reps-lookup-table'!$B$2:$AE$31,CP36,CK36+1)*CJ36*(36/(37-(CP36+CK36))),0)</f>
        <v>0</v>
      </c>
      <c r="DA36" s="24">
        <f t="array" ref="DA36">IF(ISNUMBER(CQ36),INDEX('hyper-reps-lookup-table'!$B$2:$AE$31,CQ36,CK36+1)*CJ36*(36/(37-(CQ36+CK36))),0)</f>
        <v>0</v>
      </c>
      <c r="DB36" s="24">
        <f t="array" ref="DB36">IF(ISNUMBER(CR36),INDEX('hyper-reps-lookup-table'!$B$2:$AE$31,CR36,CK36+1)*CJ36*(36/(37-(CR36+CK36))),0)</f>
        <v>0</v>
      </c>
      <c r="DC36" s="24">
        <f t="array" ref="DC36">IF(ISNUMBER(CS36),INDEX('hyper-reps-lookup-table'!$B$2:$AE$31,CS36,CK36+1)*CJ36*(36/(37-(CS36+CK36))),0)</f>
        <v>0</v>
      </c>
      <c r="DD36" s="24">
        <f t="array" ref="DD36">IF(ISNUMBER(CT36),INDEX('hyper-reps-lookup-table'!$B$2:$AE$31,CT36,CK36+1)*CJ36*(36/(37-(CT36+CK36))),0)</f>
        <v>0</v>
      </c>
      <c r="DE36" s="24">
        <f t="array" ref="DE36">IF(ISNUMBER(CU36),INDEX('hyper-reps-lookup-table'!$B$2:$AE$31,CU36,CK36+1)*CJ36*(36/(37-(CU36+CK36))),0)</f>
        <v>0</v>
      </c>
      <c r="DF36" s="55">
        <f t="shared" si="186"/>
        <v>0</v>
      </c>
      <c r="DG36" s="24">
        <f t="shared" si="187"/>
        <v>0</v>
      </c>
      <c r="DH36" s="24">
        <f t="shared" si="188"/>
        <v>0</v>
      </c>
      <c r="DI36" s="24">
        <f t="shared" si="189"/>
        <v>0</v>
      </c>
      <c r="DJ36" s="24">
        <f t="shared" si="190"/>
        <v>0</v>
      </c>
      <c r="DK36" s="24">
        <f t="shared" si="191"/>
        <v>0</v>
      </c>
      <c r="DL36" s="5">
        <f t="shared" si="192"/>
        <v>0</v>
      </c>
      <c r="DM36" s="5">
        <f t="shared" si="193"/>
        <v>0</v>
      </c>
      <c r="DN36" s="24">
        <f t="shared" si="194"/>
        <v>0</v>
      </c>
      <c r="DO36" s="24">
        <f t="shared" si="195"/>
        <v>0</v>
      </c>
      <c r="DP36" s="4" t="str">
        <f t="shared" si="196"/>
        <v>Rope Seated Face Pull (RPT) [Unica]</v>
      </c>
      <c r="DQ36" s="24"/>
      <c r="DR36" s="24">
        <f t="shared" si="197"/>
        <v>4</v>
      </c>
      <c r="DS36" s="23"/>
      <c r="DT36" s="5">
        <f t="shared" si="198"/>
        <v>0</v>
      </c>
      <c r="DU36" s="5">
        <f t="shared" si="199"/>
        <v>2.5</v>
      </c>
      <c r="DV36" s="23">
        <v>0.0</v>
      </c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24">
        <f t="array" ref="EG36">IF(ISNUMBER(DW36),INDEX('hyper-reps-lookup-table'!$B$2:$AE$31,DW36,DV36+1)*DU36*(36/(37-(DW36+DV36))),0)</f>
        <v>0</v>
      </c>
      <c r="EH36" s="24">
        <f t="array" ref="EH36">IF(ISNUMBER(DX36),INDEX('hyper-reps-lookup-table'!$B$2:$AE$31,DX36,DV36+1)*DU36*(36/(37-(DX36+DV36))),0)</f>
        <v>0</v>
      </c>
      <c r="EI36" s="24">
        <f t="array" ref="EI36">IF(ISNUMBER(DY36),INDEX('hyper-reps-lookup-table'!$B$2:$AE$31,DY36,DV36+1)*DU36*(36/(37-(DY36+DV36))),0)</f>
        <v>0</v>
      </c>
      <c r="EJ36" s="24">
        <f t="array" ref="EJ36">IF(ISNUMBER(DZ36),INDEX('hyper-reps-lookup-table'!$B$2:$AE$31,DZ36,DV36+1)*DU36*(36/(37-(DZ36+DV36))),0)</f>
        <v>0</v>
      </c>
      <c r="EK36" s="24">
        <f t="array" ref="EK36">IF(ISNUMBER(EA36),INDEX('hyper-reps-lookup-table'!$B$2:$AE$31,EA36,DV36+1)*DU36*(36/(37-(EA36+DV36))),0)</f>
        <v>0</v>
      </c>
      <c r="EL36" s="24">
        <f t="array" ref="EL36">IF(ISNUMBER(EB36),INDEX('hyper-reps-lookup-table'!$B$2:$AE$31,EB36,DV36+1)*DU36*(36/(37-(EB36+DV36))),0)</f>
        <v>0</v>
      </c>
      <c r="EM36" s="24">
        <f t="array" ref="EM36">IF(ISNUMBER(EC36),INDEX('hyper-reps-lookup-table'!$B$2:$AE$31,EC36,DV36+1)*DU36*(36/(37-(EC36+DV36))),0)</f>
        <v>0</v>
      </c>
      <c r="EN36" s="24">
        <f t="array" ref="EN36">IF(ISNUMBER(ED36),INDEX('hyper-reps-lookup-table'!$B$2:$AE$31,ED36,DV36+1)*DU36*(36/(37-(ED36+DV36))),0)</f>
        <v>0</v>
      </c>
      <c r="EO36" s="24">
        <f t="array" ref="EO36">IF(ISNUMBER(EE36),INDEX('hyper-reps-lookup-table'!$B$2:$AE$31,EE36,DV36+1)*DU36*(36/(37-(EE36+DV36))),0)</f>
        <v>0</v>
      </c>
      <c r="EP36" s="24">
        <f t="array" ref="EP36">IF(ISNUMBER(EF36),INDEX('hyper-reps-lookup-table'!$B$2:$AE$31,EF36,DV36+1)*DU36*(36/(37-(EF36+DV36))),0)</f>
        <v>0</v>
      </c>
      <c r="EQ36" s="55">
        <f t="shared" si="200"/>
        <v>0</v>
      </c>
      <c r="ER36" s="24">
        <f t="shared" si="201"/>
        <v>0</v>
      </c>
      <c r="ES36" s="24">
        <f t="shared" si="202"/>
        <v>0</v>
      </c>
      <c r="ET36" s="24">
        <f t="shared" si="203"/>
        <v>0</v>
      </c>
      <c r="EU36" s="24">
        <f t="shared" si="204"/>
        <v>0</v>
      </c>
      <c r="EV36" s="24">
        <f t="shared" si="205"/>
        <v>0</v>
      </c>
      <c r="EW36" s="5">
        <f t="shared" si="206"/>
        <v>0</v>
      </c>
      <c r="EX36" s="5">
        <f t="shared" si="207"/>
        <v>0</v>
      </c>
      <c r="EY36" s="24">
        <f t="shared" si="208"/>
        <v>0</v>
      </c>
      <c r="EZ36" s="24">
        <f t="shared" si="209"/>
        <v>0</v>
      </c>
      <c r="FA36" s="14"/>
    </row>
    <row r="37">
      <c r="A37" s="34"/>
      <c r="B37" s="27" t="s">
        <v>64</v>
      </c>
      <c r="C37" s="23">
        <v>100.0</v>
      </c>
      <c r="D37" s="29">
        <v>0.75</v>
      </c>
      <c r="E37" s="29">
        <v>0.8</v>
      </c>
      <c r="F37" s="23">
        <v>4.0</v>
      </c>
      <c r="G37" s="33">
        <v>90.0</v>
      </c>
      <c r="H37" s="33">
        <v>2.5</v>
      </c>
      <c r="I37" s="4" t="str">
        <f t="shared" si="158"/>
        <v>V-Bar Tricep Pushdown (RPT) [Unica]</v>
      </c>
      <c r="J37" s="27">
        <f t="shared" si="210"/>
        <v>2</v>
      </c>
      <c r="K37" s="24">
        <f t="shared" si="160"/>
        <v>2</v>
      </c>
      <c r="L37" s="5"/>
      <c r="M37" s="5">
        <f t="shared" si="161"/>
        <v>75</v>
      </c>
      <c r="N37" s="5">
        <f t="shared" si="162"/>
        <v>75</v>
      </c>
      <c r="O37" s="23">
        <v>0.0</v>
      </c>
      <c r="P37" s="23"/>
      <c r="Q37" s="23"/>
      <c r="R37" s="24"/>
      <c r="S37" s="24"/>
      <c r="T37" s="24"/>
      <c r="U37" s="24"/>
      <c r="V37" s="24"/>
      <c r="W37" s="24"/>
      <c r="X37" s="24"/>
      <c r="Y37" s="24"/>
      <c r="Z37" s="24">
        <f t="array" ref="Z37">IF(ISNUMBER(P37),INDEX('hyper-reps-lookup-table'!$B$2:$AE$31,P37,O37+1)*N37*(36/(37-(P37+O37))),0)</f>
        <v>0</v>
      </c>
      <c r="AA37" s="24">
        <f t="array" ref="AA37">IF(ISNUMBER(Q37),INDEX('hyper-reps-lookup-table'!$B$2:$AE$31,Q37,O37+1)*N37*(36/(37-(Q37+O37))),0)</f>
        <v>0</v>
      </c>
      <c r="AB37" s="24">
        <f t="array" ref="AB37">IF(ISNUMBER(R37),INDEX('hyper-reps-lookup-table'!$B$2:$AE$31,R37,O37+1)*N37*(36/(37-(R37+O37))),0)</f>
        <v>0</v>
      </c>
      <c r="AC37" s="24">
        <f t="array" ref="AC37">IF(ISNUMBER(S37),INDEX('hyper-reps-lookup-table'!$B$2:$AE$31,S37,O37+1)*N37*(36/(37-(S37+O37))),0)</f>
        <v>0</v>
      </c>
      <c r="AD37" s="24">
        <f t="array" ref="AD37">IF(ISNUMBER(T37),INDEX('hyper-reps-lookup-table'!$B$2:$AE$31,T37,O37+1)*N37*(36/(37-(T37+O37))),0)</f>
        <v>0</v>
      </c>
      <c r="AE37" s="24">
        <f t="array" ref="AE37">IF(ISNUMBER(U37),INDEX('hyper-reps-lookup-table'!$B$2:$AE$31,U37,O37+1)*N37*(36/(37-(U37+O37))),0)</f>
        <v>0</v>
      </c>
      <c r="AF37" s="24">
        <f t="array" ref="AF37">IF(ISNUMBER(V37),INDEX('hyper-reps-lookup-table'!$B$2:$AE$31,V37,O37+1)*N37*(36/(37-(V37+O37))),0)</f>
        <v>0</v>
      </c>
      <c r="AG37" s="24">
        <f t="array" ref="AG37">IF(ISNUMBER(W37),INDEX('hyper-reps-lookup-table'!$B$2:$AE$31,W37,O37+1)*N37*(36/(37-(W37+O37))),0)</f>
        <v>0</v>
      </c>
      <c r="AH37" s="24">
        <f t="array" ref="AH37">IF(ISNUMBER(X37),INDEX('hyper-reps-lookup-table'!$B$2:$AE$31,X37,O37+1)*N37*(36/(37-(X37+O37))),0)</f>
        <v>0</v>
      </c>
      <c r="AI37" s="24">
        <f t="array" ref="AI37">IF(ISNUMBER(Y37),INDEX('hyper-reps-lookup-table'!$B$2:$AE$31,Y37,O37+1)*N37*(36/(37-(Y37+O37))),0)</f>
        <v>0</v>
      </c>
      <c r="AJ37" s="55">
        <f t="shared" si="163"/>
        <v>0</v>
      </c>
      <c r="AK37" s="24">
        <f t="shared" si="164"/>
        <v>0</v>
      </c>
      <c r="AL37" s="24">
        <f t="shared" si="165"/>
        <v>0</v>
      </c>
      <c r="AM37" s="24">
        <f t="shared" si="166"/>
        <v>0</v>
      </c>
      <c r="AN37" s="24">
        <v>0.0</v>
      </c>
      <c r="AO37" s="24">
        <v>0.0</v>
      </c>
      <c r="AP37" s="5">
        <v>0.0</v>
      </c>
      <c r="AQ37" s="5">
        <v>0.0</v>
      </c>
      <c r="AR37" s="24">
        <v>0.0</v>
      </c>
      <c r="AS37" s="24">
        <v>0.0</v>
      </c>
      <c r="AT37" s="4" t="str">
        <f t="shared" si="167"/>
        <v>V-Bar Tricep Pushdown (RPT) [Unica]</v>
      </c>
      <c r="AU37" s="24">
        <f t="shared" si="168"/>
        <v>4</v>
      </c>
      <c r="AV37" s="24">
        <f t="shared" si="169"/>
        <v>4</v>
      </c>
      <c r="AW37" s="23"/>
      <c r="AX37" s="5">
        <f t="shared" si="170"/>
        <v>0</v>
      </c>
      <c r="AY37" s="5">
        <f t="shared" si="171"/>
        <v>2.5</v>
      </c>
      <c r="AZ37" s="23">
        <v>0.0</v>
      </c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24">
        <f t="array" ref="BK37">IF(ISNUMBER(BA37),INDEX('hyper-reps-lookup-table'!$B$2:$AE$31,BA37,AZ37+1)*AY37*(36/(37-(BA37+AZ37))),0)</f>
        <v>0</v>
      </c>
      <c r="BL37" s="24">
        <f t="array" ref="BL37">IF(ISNUMBER(BB37),INDEX('hyper-reps-lookup-table'!$B$2:$AE$31,BB37,AZ37+1)*AY37*(36/(37-(BB37+AZ37))),0)</f>
        <v>0</v>
      </c>
      <c r="BM37" s="24">
        <f t="array" ref="BM37">IF(ISNUMBER(BC37),INDEX('hyper-reps-lookup-table'!$B$2:$AE$31,BC37,AZ37+1)*AY37*(36/(37-(BC37+AZ37))),0)</f>
        <v>0</v>
      </c>
      <c r="BN37" s="24">
        <f t="array" ref="BN37">IF(ISNUMBER(BD37),INDEX('hyper-reps-lookup-table'!$B$2:$AE$31,BD37,AZ37+1)*AY37*(36/(37-(BD37+AZ37))),0)</f>
        <v>0</v>
      </c>
      <c r="BO37" s="24">
        <f t="array" ref="BO37">IF(ISNUMBER(BE37),INDEX('hyper-reps-lookup-table'!$B$2:$AE$31,BE37,AZ37+1)*AY37*(36/(37-(BE37+AZ37))),0)</f>
        <v>0</v>
      </c>
      <c r="BP37" s="24">
        <f t="array" ref="BP37">IF(ISNUMBER(BF37),INDEX('hyper-reps-lookup-table'!$B$2:$AE$31,BF37,AZ37+1)*AY37*(36/(37-(BF37+AZ37))),0)</f>
        <v>0</v>
      </c>
      <c r="BQ37" s="24">
        <f t="array" ref="BQ37">IF(ISNUMBER(BG37),INDEX('hyper-reps-lookup-table'!$B$2:$AE$31,BG37,AZ37+1)*AY37*(36/(37-(BG37+AZ37))),0)</f>
        <v>0</v>
      </c>
      <c r="BR37" s="24">
        <f t="array" ref="BR37">IF(ISNUMBER(BH37),INDEX('hyper-reps-lookup-table'!$B$2:$AE$31,BH37,AZ37+1)*AY37*(36/(37-(BH37+AZ37))),0)</f>
        <v>0</v>
      </c>
      <c r="BS37" s="24">
        <f t="array" ref="BS37">IF(ISNUMBER(BI37),INDEX('hyper-reps-lookup-table'!$B$2:$AE$31,BI37,AZ37+1)*AY37*(36/(37-(BI37+AZ37))),0)</f>
        <v>0</v>
      </c>
      <c r="BT37" s="24">
        <f t="array" ref="BT37">IF(ISNUMBER(BJ37),INDEX('hyper-reps-lookup-table'!$B$2:$AE$31,BJ37,AZ37+1)*AY37*(36/(37-(BJ37+AZ37))),0)</f>
        <v>0</v>
      </c>
      <c r="BU37" s="55">
        <f t="shared" si="172"/>
        <v>0</v>
      </c>
      <c r="BV37" s="24">
        <f t="shared" si="173"/>
        <v>0</v>
      </c>
      <c r="BW37" s="24">
        <f t="shared" si="174"/>
        <v>0</v>
      </c>
      <c r="BX37" s="24">
        <f t="shared" si="175"/>
        <v>0</v>
      </c>
      <c r="BY37" s="24">
        <f t="shared" si="176"/>
        <v>0</v>
      </c>
      <c r="BZ37" s="24">
        <f t="shared" si="177"/>
        <v>0</v>
      </c>
      <c r="CA37" s="5">
        <f t="shared" si="178"/>
        <v>0</v>
      </c>
      <c r="CB37" s="5">
        <f t="shared" si="179"/>
        <v>0</v>
      </c>
      <c r="CC37" s="24">
        <f t="shared" si="180"/>
        <v>0</v>
      </c>
      <c r="CD37" s="24">
        <f t="shared" si="181"/>
        <v>0</v>
      </c>
      <c r="CE37" s="4" t="str">
        <f t="shared" si="182"/>
        <v>V-Bar Tricep Pushdown (RPT) [Unica]</v>
      </c>
      <c r="CF37" s="24"/>
      <c r="CG37" s="24">
        <f t="shared" si="183"/>
        <v>4</v>
      </c>
      <c r="CH37" s="23"/>
      <c r="CI37" s="5">
        <f t="shared" si="184"/>
        <v>0</v>
      </c>
      <c r="CJ37" s="5">
        <f t="shared" si="185"/>
        <v>2.5</v>
      </c>
      <c r="CK37" s="23">
        <v>0.0</v>
      </c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24">
        <f t="array" ref="CV37">IF(ISNUMBER(CL37),INDEX('hyper-reps-lookup-table'!$B$2:$AE$31,CL37,CK37+1)*CJ37*(36/(37-(CL37+CK37))),0)</f>
        <v>0</v>
      </c>
      <c r="CW37" s="24">
        <f t="array" ref="CW37">IF(ISNUMBER(CM37),INDEX('hyper-reps-lookup-table'!$B$2:$AE$31,CM37,CK37+1)*CJ37*(36/(37-(CM37+CK37))),0)</f>
        <v>0</v>
      </c>
      <c r="CX37" s="24">
        <f t="array" ref="CX37">IF(ISNUMBER(CN37),INDEX('hyper-reps-lookup-table'!$B$2:$AE$31,CN37,CK37+1)*CJ37*(36/(37-(CN37+CK37))),0)</f>
        <v>0</v>
      </c>
      <c r="CY37" s="24">
        <f t="array" ref="CY37">IF(ISNUMBER(CO37),INDEX('hyper-reps-lookup-table'!$B$2:$AE$31,CO37,CK37+1)*CJ37*(36/(37-(CO37+CK37))),0)</f>
        <v>0</v>
      </c>
      <c r="CZ37" s="24">
        <f t="array" ref="CZ37">IF(ISNUMBER(CP37),INDEX('hyper-reps-lookup-table'!$B$2:$AE$31,CP37,CK37+1)*CJ37*(36/(37-(CP37+CK37))),0)</f>
        <v>0</v>
      </c>
      <c r="DA37" s="24">
        <f t="array" ref="DA37">IF(ISNUMBER(CQ37),INDEX('hyper-reps-lookup-table'!$B$2:$AE$31,CQ37,CK37+1)*CJ37*(36/(37-(CQ37+CK37))),0)</f>
        <v>0</v>
      </c>
      <c r="DB37" s="24">
        <f t="array" ref="DB37">IF(ISNUMBER(CR37),INDEX('hyper-reps-lookup-table'!$B$2:$AE$31,CR37,CK37+1)*CJ37*(36/(37-(CR37+CK37))),0)</f>
        <v>0</v>
      </c>
      <c r="DC37" s="24">
        <f t="array" ref="DC37">IF(ISNUMBER(CS37),INDEX('hyper-reps-lookup-table'!$B$2:$AE$31,CS37,CK37+1)*CJ37*(36/(37-(CS37+CK37))),0)</f>
        <v>0</v>
      </c>
      <c r="DD37" s="24">
        <f t="array" ref="DD37">IF(ISNUMBER(CT37),INDEX('hyper-reps-lookup-table'!$B$2:$AE$31,CT37,CK37+1)*CJ37*(36/(37-(CT37+CK37))),0)</f>
        <v>0</v>
      </c>
      <c r="DE37" s="24">
        <f t="array" ref="DE37">IF(ISNUMBER(CU37),INDEX('hyper-reps-lookup-table'!$B$2:$AE$31,CU37,CK37+1)*CJ37*(36/(37-(CU37+CK37))),0)</f>
        <v>0</v>
      </c>
      <c r="DF37" s="55">
        <f t="shared" si="186"/>
        <v>0</v>
      </c>
      <c r="DG37" s="24">
        <f t="shared" si="187"/>
        <v>0</v>
      </c>
      <c r="DH37" s="24">
        <f t="shared" si="188"/>
        <v>0</v>
      </c>
      <c r="DI37" s="24">
        <f t="shared" si="189"/>
        <v>0</v>
      </c>
      <c r="DJ37" s="24">
        <f t="shared" si="190"/>
        <v>0</v>
      </c>
      <c r="DK37" s="24">
        <f t="shared" si="191"/>
        <v>0</v>
      </c>
      <c r="DL37" s="5">
        <f t="shared" si="192"/>
        <v>0</v>
      </c>
      <c r="DM37" s="5">
        <f t="shared" si="193"/>
        <v>0</v>
      </c>
      <c r="DN37" s="24">
        <f t="shared" si="194"/>
        <v>0</v>
      </c>
      <c r="DO37" s="24">
        <f t="shared" si="195"/>
        <v>0</v>
      </c>
      <c r="DP37" s="4" t="str">
        <f t="shared" si="196"/>
        <v>V-Bar Tricep Pushdown (RPT) [Unica]</v>
      </c>
      <c r="DQ37" s="24"/>
      <c r="DR37" s="24">
        <f t="shared" si="197"/>
        <v>4</v>
      </c>
      <c r="DS37" s="23"/>
      <c r="DT37" s="5">
        <f t="shared" si="198"/>
        <v>0</v>
      </c>
      <c r="DU37" s="5">
        <f t="shared" si="199"/>
        <v>2.5</v>
      </c>
      <c r="DV37" s="23">
        <v>0.0</v>
      </c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24">
        <f t="array" ref="EG37">IF(ISNUMBER(DW37),INDEX('hyper-reps-lookup-table'!$B$2:$AE$31,DW37,DV37+1)*DU37*(36/(37-(DW37+DV37))),0)</f>
        <v>0</v>
      </c>
      <c r="EH37" s="24">
        <f t="array" ref="EH37">IF(ISNUMBER(DX37),INDEX('hyper-reps-lookup-table'!$B$2:$AE$31,DX37,DV37+1)*DU37*(36/(37-(DX37+DV37))),0)</f>
        <v>0</v>
      </c>
      <c r="EI37" s="24">
        <f t="array" ref="EI37">IF(ISNUMBER(DY37),INDEX('hyper-reps-lookup-table'!$B$2:$AE$31,DY37,DV37+1)*DU37*(36/(37-(DY37+DV37))),0)</f>
        <v>0</v>
      </c>
      <c r="EJ37" s="24">
        <f t="array" ref="EJ37">IF(ISNUMBER(DZ37),INDEX('hyper-reps-lookup-table'!$B$2:$AE$31,DZ37,DV37+1)*DU37*(36/(37-(DZ37+DV37))),0)</f>
        <v>0</v>
      </c>
      <c r="EK37" s="24">
        <f t="array" ref="EK37">IF(ISNUMBER(EA37),INDEX('hyper-reps-lookup-table'!$B$2:$AE$31,EA37,DV37+1)*DU37*(36/(37-(EA37+DV37))),0)</f>
        <v>0</v>
      </c>
      <c r="EL37" s="24">
        <f t="array" ref="EL37">IF(ISNUMBER(EB37),INDEX('hyper-reps-lookup-table'!$B$2:$AE$31,EB37,DV37+1)*DU37*(36/(37-(EB37+DV37))),0)</f>
        <v>0</v>
      </c>
      <c r="EM37" s="24">
        <f t="array" ref="EM37">IF(ISNUMBER(EC37),INDEX('hyper-reps-lookup-table'!$B$2:$AE$31,EC37,DV37+1)*DU37*(36/(37-(EC37+DV37))),0)</f>
        <v>0</v>
      </c>
      <c r="EN37" s="24">
        <f t="array" ref="EN37">IF(ISNUMBER(ED37),INDEX('hyper-reps-lookup-table'!$B$2:$AE$31,ED37,DV37+1)*DU37*(36/(37-(ED37+DV37))),0)</f>
        <v>0</v>
      </c>
      <c r="EO37" s="24">
        <f t="array" ref="EO37">IF(ISNUMBER(EE37),INDEX('hyper-reps-lookup-table'!$B$2:$AE$31,EE37,DV37+1)*DU37*(36/(37-(EE37+DV37))),0)</f>
        <v>0</v>
      </c>
      <c r="EP37" s="24">
        <f t="array" ref="EP37">IF(ISNUMBER(EF37),INDEX('hyper-reps-lookup-table'!$B$2:$AE$31,EF37,DV37+1)*DU37*(36/(37-(EF37+DV37))),0)</f>
        <v>0</v>
      </c>
      <c r="EQ37" s="55">
        <f t="shared" si="200"/>
        <v>0</v>
      </c>
      <c r="ER37" s="24">
        <f t="shared" si="201"/>
        <v>0</v>
      </c>
      <c r="ES37" s="24">
        <f t="shared" si="202"/>
        <v>0</v>
      </c>
      <c r="ET37" s="24">
        <f t="shared" si="203"/>
        <v>0</v>
      </c>
      <c r="EU37" s="24">
        <f t="shared" si="204"/>
        <v>0</v>
      </c>
      <c r="EV37" s="24">
        <f t="shared" si="205"/>
        <v>0</v>
      </c>
      <c r="EW37" s="5">
        <f t="shared" si="206"/>
        <v>0</v>
      </c>
      <c r="EX37" s="5">
        <f t="shared" si="207"/>
        <v>0</v>
      </c>
      <c r="EY37" s="24">
        <f t="shared" si="208"/>
        <v>0</v>
      </c>
      <c r="EZ37" s="24">
        <f t="shared" si="209"/>
        <v>0</v>
      </c>
      <c r="FA37" s="14"/>
    </row>
    <row r="38">
      <c r="A38" s="34"/>
      <c r="B38" s="27" t="s">
        <v>65</v>
      </c>
      <c r="C38" s="23">
        <v>100.0</v>
      </c>
      <c r="D38" s="29">
        <v>0.75</v>
      </c>
      <c r="E38" s="29">
        <v>0.8</v>
      </c>
      <c r="F38" s="23">
        <v>4.0</v>
      </c>
      <c r="G38" s="33">
        <v>180.0</v>
      </c>
      <c r="H38" s="33">
        <v>0.5</v>
      </c>
      <c r="I38" s="4" t="str">
        <f t="shared" si="158"/>
        <v>Seated Bicep Curl (RPT) [Trainer+]</v>
      </c>
      <c r="J38" s="27">
        <f t="shared" si="210"/>
        <v>2</v>
      </c>
      <c r="K38" s="24">
        <f t="shared" si="160"/>
        <v>2</v>
      </c>
      <c r="L38" s="5"/>
      <c r="M38" s="5">
        <f t="shared" si="161"/>
        <v>75</v>
      </c>
      <c r="N38" s="5">
        <f t="shared" si="162"/>
        <v>75</v>
      </c>
      <c r="O38" s="23">
        <v>0.0</v>
      </c>
      <c r="P38" s="23"/>
      <c r="Q38" s="23"/>
      <c r="R38" s="24"/>
      <c r="S38" s="24"/>
      <c r="T38" s="24"/>
      <c r="U38" s="24"/>
      <c r="V38" s="24"/>
      <c r="W38" s="24"/>
      <c r="X38" s="24"/>
      <c r="Y38" s="24"/>
      <c r="Z38" s="24">
        <f t="array" ref="Z38">IF(ISNUMBER(P38),INDEX('hyper-reps-lookup-table'!$B$2:$AE$31,P38,O38+1)*N38*(36/(37-(P38+O38))),0)</f>
        <v>0</v>
      </c>
      <c r="AA38" s="24">
        <f t="array" ref="AA38">IF(ISNUMBER(Q38),INDEX('hyper-reps-lookup-table'!$B$2:$AE$31,Q38,O38+1)*N38*(36/(37-(Q38+O38))),0)</f>
        <v>0</v>
      </c>
      <c r="AB38" s="24">
        <f t="array" ref="AB38">IF(ISNUMBER(R38),INDEX('hyper-reps-lookup-table'!$B$2:$AE$31,R38,O38+1)*N38*(36/(37-(R38+O38))),0)</f>
        <v>0</v>
      </c>
      <c r="AC38" s="24">
        <f t="array" ref="AC38">IF(ISNUMBER(S38),INDEX('hyper-reps-lookup-table'!$B$2:$AE$31,S38,O38+1)*N38*(36/(37-(S38+O38))),0)</f>
        <v>0</v>
      </c>
      <c r="AD38" s="24">
        <f t="array" ref="AD38">IF(ISNUMBER(T38),INDEX('hyper-reps-lookup-table'!$B$2:$AE$31,T38,O38+1)*N38*(36/(37-(T38+O38))),0)</f>
        <v>0</v>
      </c>
      <c r="AE38" s="24">
        <f t="array" ref="AE38">IF(ISNUMBER(U38),INDEX('hyper-reps-lookup-table'!$B$2:$AE$31,U38,O38+1)*N38*(36/(37-(U38+O38))),0)</f>
        <v>0</v>
      </c>
      <c r="AF38" s="24">
        <f t="array" ref="AF38">IF(ISNUMBER(V38),INDEX('hyper-reps-lookup-table'!$B$2:$AE$31,V38,O38+1)*N38*(36/(37-(V38+O38))),0)</f>
        <v>0</v>
      </c>
      <c r="AG38" s="24">
        <f t="array" ref="AG38">IF(ISNUMBER(W38),INDEX('hyper-reps-lookup-table'!$B$2:$AE$31,W38,O38+1)*N38*(36/(37-(W38+O38))),0)</f>
        <v>0</v>
      </c>
      <c r="AH38" s="24">
        <f t="array" ref="AH38">IF(ISNUMBER(X38),INDEX('hyper-reps-lookup-table'!$B$2:$AE$31,X38,O38+1)*N38*(36/(37-(X38+O38))),0)</f>
        <v>0</v>
      </c>
      <c r="AI38" s="24">
        <f t="array" ref="AI38">IF(ISNUMBER(Y38),INDEX('hyper-reps-lookup-table'!$B$2:$AE$31,Y38,O38+1)*N38*(36/(37-(Y38+O38))),0)</f>
        <v>0</v>
      </c>
      <c r="AJ38" s="55">
        <f t="shared" si="163"/>
        <v>0</v>
      </c>
      <c r="AK38" s="24">
        <f t="shared" si="164"/>
        <v>0</v>
      </c>
      <c r="AL38" s="24">
        <f t="shared" si="165"/>
        <v>0</v>
      </c>
      <c r="AM38" s="24">
        <f t="shared" si="166"/>
        <v>0</v>
      </c>
      <c r="AN38" s="24">
        <v>0.0</v>
      </c>
      <c r="AO38" s="24">
        <v>0.0</v>
      </c>
      <c r="AP38" s="5">
        <v>0.0</v>
      </c>
      <c r="AQ38" s="5">
        <v>0.0</v>
      </c>
      <c r="AR38" s="24">
        <v>0.0</v>
      </c>
      <c r="AS38" s="24">
        <v>0.0</v>
      </c>
      <c r="AT38" s="4" t="str">
        <f t="shared" si="167"/>
        <v>Seated Bicep Curl (RPT) [Trainer+]</v>
      </c>
      <c r="AU38" s="24">
        <f t="shared" si="168"/>
        <v>4</v>
      </c>
      <c r="AV38" s="24">
        <f t="shared" si="169"/>
        <v>4</v>
      </c>
      <c r="AW38" s="23"/>
      <c r="AX38" s="5">
        <f t="shared" si="170"/>
        <v>0</v>
      </c>
      <c r="AY38" s="5">
        <f t="shared" si="171"/>
        <v>0.5</v>
      </c>
      <c r="AZ38" s="23">
        <v>0.0</v>
      </c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24">
        <f t="array" ref="BK38">IF(ISNUMBER(BA38),INDEX('hyper-reps-lookup-table'!$B$2:$AE$31,BA38,AZ38+1)*AY38*(36/(37-(BA38+AZ38))),0)</f>
        <v>0</v>
      </c>
      <c r="BL38" s="24">
        <f t="array" ref="BL38">IF(ISNUMBER(BB38),INDEX('hyper-reps-lookup-table'!$B$2:$AE$31,BB38,AZ38+1)*AY38*(36/(37-(BB38+AZ38))),0)</f>
        <v>0</v>
      </c>
      <c r="BM38" s="24">
        <f t="array" ref="BM38">IF(ISNUMBER(BC38),INDEX('hyper-reps-lookup-table'!$B$2:$AE$31,BC38,AZ38+1)*AY38*(36/(37-(BC38+AZ38))),0)</f>
        <v>0</v>
      </c>
      <c r="BN38" s="24">
        <f t="array" ref="BN38">IF(ISNUMBER(BD38),INDEX('hyper-reps-lookup-table'!$B$2:$AE$31,BD38,AZ38+1)*AY38*(36/(37-(BD38+AZ38))),0)</f>
        <v>0</v>
      </c>
      <c r="BO38" s="24">
        <f t="array" ref="BO38">IF(ISNUMBER(BE38),INDEX('hyper-reps-lookup-table'!$B$2:$AE$31,BE38,AZ38+1)*AY38*(36/(37-(BE38+AZ38))),0)</f>
        <v>0</v>
      </c>
      <c r="BP38" s="24">
        <f t="array" ref="BP38">IF(ISNUMBER(BF38),INDEX('hyper-reps-lookup-table'!$B$2:$AE$31,BF38,AZ38+1)*AY38*(36/(37-(BF38+AZ38))),0)</f>
        <v>0</v>
      </c>
      <c r="BQ38" s="24">
        <f t="array" ref="BQ38">IF(ISNUMBER(BG38),INDEX('hyper-reps-lookup-table'!$B$2:$AE$31,BG38,AZ38+1)*AY38*(36/(37-(BG38+AZ38))),0)</f>
        <v>0</v>
      </c>
      <c r="BR38" s="24">
        <f t="array" ref="BR38">IF(ISNUMBER(BH38),INDEX('hyper-reps-lookup-table'!$B$2:$AE$31,BH38,AZ38+1)*AY38*(36/(37-(BH38+AZ38))),0)</f>
        <v>0</v>
      </c>
      <c r="BS38" s="24">
        <f t="array" ref="BS38">IF(ISNUMBER(BI38),INDEX('hyper-reps-lookup-table'!$B$2:$AE$31,BI38,AZ38+1)*AY38*(36/(37-(BI38+AZ38))),0)</f>
        <v>0</v>
      </c>
      <c r="BT38" s="24">
        <f t="array" ref="BT38">IF(ISNUMBER(BJ38),INDEX('hyper-reps-lookup-table'!$B$2:$AE$31,BJ38,AZ38+1)*AY38*(36/(37-(BJ38+AZ38))),0)</f>
        <v>0</v>
      </c>
      <c r="BU38" s="55">
        <f t="shared" si="172"/>
        <v>0</v>
      </c>
      <c r="BV38" s="24">
        <f t="shared" si="173"/>
        <v>0</v>
      </c>
      <c r="BW38" s="24">
        <f t="shared" si="174"/>
        <v>0</v>
      </c>
      <c r="BX38" s="24">
        <f t="shared" si="175"/>
        <v>0</v>
      </c>
      <c r="BY38" s="24">
        <f t="shared" si="176"/>
        <v>0</v>
      </c>
      <c r="BZ38" s="24">
        <f t="shared" si="177"/>
        <v>0</v>
      </c>
      <c r="CA38" s="5">
        <f t="shared" si="178"/>
        <v>0</v>
      </c>
      <c r="CB38" s="5">
        <f t="shared" si="179"/>
        <v>0</v>
      </c>
      <c r="CC38" s="24">
        <f t="shared" si="180"/>
        <v>0</v>
      </c>
      <c r="CD38" s="24">
        <f t="shared" si="181"/>
        <v>0</v>
      </c>
      <c r="CE38" s="4" t="str">
        <f t="shared" si="182"/>
        <v>Seated Bicep Curl (RPT) [Trainer+]</v>
      </c>
      <c r="CF38" s="24"/>
      <c r="CG38" s="24">
        <f t="shared" si="183"/>
        <v>4</v>
      </c>
      <c r="CH38" s="23"/>
      <c r="CI38" s="5">
        <f t="shared" si="184"/>
        <v>0</v>
      </c>
      <c r="CJ38" s="5">
        <f t="shared" si="185"/>
        <v>0.5</v>
      </c>
      <c r="CK38" s="23">
        <v>0.0</v>
      </c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24">
        <f t="array" ref="CV38">IF(ISNUMBER(CL38),INDEX('hyper-reps-lookup-table'!$B$2:$AE$31,CL38,CK38+1)*CJ38*(36/(37-(CL38+CK38))),0)</f>
        <v>0</v>
      </c>
      <c r="CW38" s="24">
        <f t="array" ref="CW38">IF(ISNUMBER(CM38),INDEX('hyper-reps-lookup-table'!$B$2:$AE$31,CM38,CK38+1)*CJ38*(36/(37-(CM38+CK38))),0)</f>
        <v>0</v>
      </c>
      <c r="CX38" s="24">
        <f t="array" ref="CX38">IF(ISNUMBER(CN38),INDEX('hyper-reps-lookup-table'!$B$2:$AE$31,CN38,CK38+1)*CJ38*(36/(37-(CN38+CK38))),0)</f>
        <v>0</v>
      </c>
      <c r="CY38" s="24">
        <f t="array" ref="CY38">IF(ISNUMBER(CO38),INDEX('hyper-reps-lookup-table'!$B$2:$AE$31,CO38,CK38+1)*CJ38*(36/(37-(CO38+CK38))),0)</f>
        <v>0</v>
      </c>
      <c r="CZ38" s="24">
        <f t="array" ref="CZ38">IF(ISNUMBER(CP38),INDEX('hyper-reps-lookup-table'!$B$2:$AE$31,CP38,CK38+1)*CJ38*(36/(37-(CP38+CK38))),0)</f>
        <v>0</v>
      </c>
      <c r="DA38" s="24">
        <f t="array" ref="DA38">IF(ISNUMBER(CQ38),INDEX('hyper-reps-lookup-table'!$B$2:$AE$31,CQ38,CK38+1)*CJ38*(36/(37-(CQ38+CK38))),0)</f>
        <v>0</v>
      </c>
      <c r="DB38" s="24">
        <f t="array" ref="DB38">IF(ISNUMBER(CR38),INDEX('hyper-reps-lookup-table'!$B$2:$AE$31,CR38,CK38+1)*CJ38*(36/(37-(CR38+CK38))),0)</f>
        <v>0</v>
      </c>
      <c r="DC38" s="24">
        <f t="array" ref="DC38">IF(ISNUMBER(CS38),INDEX('hyper-reps-lookup-table'!$B$2:$AE$31,CS38,CK38+1)*CJ38*(36/(37-(CS38+CK38))),0)</f>
        <v>0</v>
      </c>
      <c r="DD38" s="24">
        <f t="array" ref="DD38">IF(ISNUMBER(CT38),INDEX('hyper-reps-lookup-table'!$B$2:$AE$31,CT38,CK38+1)*CJ38*(36/(37-(CT38+CK38))),0)</f>
        <v>0</v>
      </c>
      <c r="DE38" s="24">
        <f t="array" ref="DE38">IF(ISNUMBER(CU38),INDEX('hyper-reps-lookup-table'!$B$2:$AE$31,CU38,CK38+1)*CJ38*(36/(37-(CU38+CK38))),0)</f>
        <v>0</v>
      </c>
      <c r="DF38" s="55">
        <f t="shared" si="186"/>
        <v>0</v>
      </c>
      <c r="DG38" s="24">
        <f t="shared" si="187"/>
        <v>0</v>
      </c>
      <c r="DH38" s="24">
        <f t="shared" si="188"/>
        <v>0</v>
      </c>
      <c r="DI38" s="24">
        <f t="shared" si="189"/>
        <v>0</v>
      </c>
      <c r="DJ38" s="24">
        <f t="shared" si="190"/>
        <v>0</v>
      </c>
      <c r="DK38" s="24">
        <f t="shared" si="191"/>
        <v>0</v>
      </c>
      <c r="DL38" s="5">
        <f t="shared" si="192"/>
        <v>0</v>
      </c>
      <c r="DM38" s="5">
        <f t="shared" si="193"/>
        <v>0</v>
      </c>
      <c r="DN38" s="24">
        <f t="shared" si="194"/>
        <v>0</v>
      </c>
      <c r="DO38" s="24">
        <f t="shared" si="195"/>
        <v>0</v>
      </c>
      <c r="DP38" s="4" t="str">
        <f t="shared" si="196"/>
        <v>Seated Bicep Curl (RPT) [Trainer+]</v>
      </c>
      <c r="DQ38" s="24"/>
      <c r="DR38" s="24">
        <f t="shared" si="197"/>
        <v>4</v>
      </c>
      <c r="DS38" s="23"/>
      <c r="DT38" s="5">
        <f t="shared" si="198"/>
        <v>0</v>
      </c>
      <c r="DU38" s="5">
        <f t="shared" si="199"/>
        <v>0.5</v>
      </c>
      <c r="DV38" s="23">
        <v>0.0</v>
      </c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24">
        <f t="array" ref="EG38">IF(ISNUMBER(DW38),INDEX('hyper-reps-lookup-table'!$B$2:$AE$31,DW38,DV38+1)*DU38*(36/(37-(DW38+DV38))),0)</f>
        <v>0</v>
      </c>
      <c r="EH38" s="24">
        <f t="array" ref="EH38">IF(ISNUMBER(DX38),INDEX('hyper-reps-lookup-table'!$B$2:$AE$31,DX38,DV38+1)*DU38*(36/(37-(DX38+DV38))),0)</f>
        <v>0</v>
      </c>
      <c r="EI38" s="24">
        <f t="array" ref="EI38">IF(ISNUMBER(DY38),INDEX('hyper-reps-lookup-table'!$B$2:$AE$31,DY38,DV38+1)*DU38*(36/(37-(DY38+DV38))),0)</f>
        <v>0</v>
      </c>
      <c r="EJ38" s="24">
        <f t="array" ref="EJ38">IF(ISNUMBER(DZ38),INDEX('hyper-reps-lookup-table'!$B$2:$AE$31,DZ38,DV38+1)*DU38*(36/(37-(DZ38+DV38))),0)</f>
        <v>0</v>
      </c>
      <c r="EK38" s="24">
        <f t="array" ref="EK38">IF(ISNUMBER(EA38),INDEX('hyper-reps-lookup-table'!$B$2:$AE$31,EA38,DV38+1)*DU38*(36/(37-(EA38+DV38))),0)</f>
        <v>0</v>
      </c>
      <c r="EL38" s="24">
        <f t="array" ref="EL38">IF(ISNUMBER(EB38),INDEX('hyper-reps-lookup-table'!$B$2:$AE$31,EB38,DV38+1)*DU38*(36/(37-(EB38+DV38))),0)</f>
        <v>0</v>
      </c>
      <c r="EM38" s="24">
        <f t="array" ref="EM38">IF(ISNUMBER(EC38),INDEX('hyper-reps-lookup-table'!$B$2:$AE$31,EC38,DV38+1)*DU38*(36/(37-(EC38+DV38))),0)</f>
        <v>0</v>
      </c>
      <c r="EN38" s="24">
        <f t="array" ref="EN38">IF(ISNUMBER(ED38),INDEX('hyper-reps-lookup-table'!$B$2:$AE$31,ED38,DV38+1)*DU38*(36/(37-(ED38+DV38))),0)</f>
        <v>0</v>
      </c>
      <c r="EO38" s="24">
        <f t="array" ref="EO38">IF(ISNUMBER(EE38),INDEX('hyper-reps-lookup-table'!$B$2:$AE$31,EE38,DV38+1)*DU38*(36/(37-(EE38+DV38))),0)</f>
        <v>0</v>
      </c>
      <c r="EP38" s="24">
        <f t="array" ref="EP38">IF(ISNUMBER(EF38),INDEX('hyper-reps-lookup-table'!$B$2:$AE$31,EF38,DV38+1)*DU38*(36/(37-(EF38+DV38))),0)</f>
        <v>0</v>
      </c>
      <c r="EQ38" s="55">
        <f t="shared" si="200"/>
        <v>0</v>
      </c>
      <c r="ER38" s="24">
        <f t="shared" si="201"/>
        <v>0</v>
      </c>
      <c r="ES38" s="24">
        <f t="shared" si="202"/>
        <v>0</v>
      </c>
      <c r="ET38" s="24">
        <f t="shared" si="203"/>
        <v>0</v>
      </c>
      <c r="EU38" s="24">
        <f t="shared" si="204"/>
        <v>0</v>
      </c>
      <c r="EV38" s="24">
        <f t="shared" si="205"/>
        <v>0</v>
      </c>
      <c r="EW38" s="5">
        <f t="shared" si="206"/>
        <v>0</v>
      </c>
      <c r="EX38" s="5">
        <f t="shared" si="207"/>
        <v>0</v>
      </c>
      <c r="EY38" s="24">
        <f t="shared" si="208"/>
        <v>0</v>
      </c>
      <c r="EZ38" s="24">
        <f t="shared" si="209"/>
        <v>0</v>
      </c>
      <c r="FA38" s="14"/>
    </row>
    <row r="39">
      <c r="A39" s="34"/>
      <c r="B39" s="60"/>
      <c r="I39" s="3"/>
      <c r="J39" s="3"/>
      <c r="K39" s="3"/>
      <c r="L39" s="45"/>
      <c r="M39" s="3"/>
      <c r="N39" s="14"/>
    </row>
    <row r="40">
      <c r="A40" s="34"/>
      <c r="B40" s="60"/>
      <c r="C40" s="60"/>
      <c r="D40" s="60"/>
      <c r="E40" s="60"/>
      <c r="F40" s="60"/>
      <c r="G40" s="60"/>
      <c r="H40" s="60"/>
      <c r="I40" s="3"/>
      <c r="J40" s="3"/>
      <c r="K40" s="3"/>
      <c r="L40" s="45"/>
      <c r="M40" s="3"/>
      <c r="N40" s="14"/>
    </row>
    <row r="41">
      <c r="A41" s="34"/>
      <c r="B41" s="60"/>
      <c r="C41" s="60"/>
      <c r="D41" s="60"/>
      <c r="E41" s="60"/>
      <c r="F41" s="60"/>
      <c r="G41" s="60"/>
      <c r="H41" s="60"/>
      <c r="I41" s="3"/>
      <c r="J41" s="3"/>
      <c r="K41" s="3"/>
      <c r="L41" s="45"/>
      <c r="M41" s="3"/>
      <c r="N41" s="14"/>
    </row>
    <row r="42">
      <c r="A42" s="34"/>
      <c r="B42" s="46" t="s">
        <v>69</v>
      </c>
      <c r="C42" s="8"/>
      <c r="D42" s="3"/>
      <c r="E42" s="3"/>
      <c r="F42" s="3"/>
      <c r="J42" s="13"/>
      <c r="K42" s="62"/>
      <c r="L42" s="13"/>
      <c r="M42" s="13"/>
      <c r="N42" s="63"/>
    </row>
    <row r="43">
      <c r="A43" s="34"/>
      <c r="B43" s="64" t="s">
        <v>70</v>
      </c>
      <c r="C43" s="8"/>
      <c r="D43" s="65"/>
      <c r="E43" s="65"/>
      <c r="F43" s="3"/>
      <c r="J43" s="13"/>
      <c r="K43" s="62"/>
      <c r="L43" s="13"/>
      <c r="M43" s="13"/>
      <c r="N43" s="63"/>
    </row>
    <row r="44">
      <c r="D44" s="3"/>
      <c r="E44" s="3"/>
      <c r="F44" s="3"/>
      <c r="G44" s="3"/>
      <c r="H44" s="3"/>
      <c r="I44" s="13"/>
      <c r="J44" s="13"/>
      <c r="K44" s="13"/>
      <c r="L44" s="62"/>
      <c r="M44" s="13"/>
      <c r="N44" s="63"/>
    </row>
    <row r="45">
      <c r="D45" s="3"/>
      <c r="E45" s="3"/>
      <c r="F45" s="3"/>
      <c r="G45" s="3"/>
      <c r="H45" s="3"/>
      <c r="I45" s="13"/>
      <c r="J45" s="13"/>
      <c r="K45" s="13"/>
      <c r="L45" s="62"/>
      <c r="M45" s="13"/>
      <c r="N45" s="66"/>
    </row>
    <row r="46">
      <c r="D46" s="3"/>
      <c r="E46" s="3"/>
      <c r="F46" s="3"/>
      <c r="G46" s="3"/>
      <c r="H46" s="3"/>
      <c r="I46" s="13"/>
      <c r="J46" s="67" t="s">
        <v>71</v>
      </c>
      <c r="K46" s="7"/>
      <c r="L46" s="7"/>
      <c r="M46" s="8"/>
      <c r="N46" s="63"/>
    </row>
    <row r="47">
      <c r="D47" s="3"/>
      <c r="E47" s="3"/>
      <c r="F47" s="3"/>
      <c r="G47" s="3"/>
      <c r="H47" s="3"/>
      <c r="I47" s="68" t="s">
        <v>72</v>
      </c>
      <c r="J47" s="69" t="s">
        <v>73</v>
      </c>
      <c r="K47" s="69" t="s">
        <v>74</v>
      </c>
      <c r="L47" s="69" t="s">
        <v>75</v>
      </c>
      <c r="M47" s="69" t="s">
        <v>76</v>
      </c>
      <c r="N47" s="63"/>
    </row>
    <row r="48">
      <c r="D48" s="3"/>
      <c r="E48" s="3"/>
      <c r="F48" s="3"/>
      <c r="G48" s="3"/>
      <c r="H48" s="3"/>
      <c r="I48" s="70" t="s">
        <v>77</v>
      </c>
      <c r="J48" s="71">
        <f t="shared" ref="J48:J49" si="211">K13+K15+K31+K33</f>
        <v>6</v>
      </c>
      <c r="K48" s="71">
        <f t="shared" ref="K48:K49" si="212">AV13+AV15+AV31+AV33</f>
        <v>12</v>
      </c>
      <c r="L48" s="71">
        <f t="shared" ref="L48:L49" si="213">CG13+CG15+CG31+CG33</f>
        <v>12</v>
      </c>
      <c r="M48" s="71">
        <f t="shared" ref="M48:M49" si="214">DR13+DR15+DR31+DR33</f>
        <v>12</v>
      </c>
      <c r="N48" s="63"/>
    </row>
    <row r="49">
      <c r="D49" s="3"/>
      <c r="E49" s="3"/>
      <c r="F49" s="3"/>
      <c r="G49" s="3"/>
      <c r="H49" s="3"/>
      <c r="I49" s="70" t="s">
        <v>78</v>
      </c>
      <c r="J49" s="71">
        <f t="shared" si="211"/>
        <v>6</v>
      </c>
      <c r="K49" s="71">
        <f t="shared" si="212"/>
        <v>12</v>
      </c>
      <c r="L49" s="71">
        <f t="shared" si="213"/>
        <v>12</v>
      </c>
      <c r="M49" s="71">
        <f t="shared" si="214"/>
        <v>12</v>
      </c>
      <c r="N49" s="63"/>
    </row>
    <row r="50">
      <c r="D50" s="3"/>
      <c r="E50" s="3"/>
      <c r="F50" s="3"/>
      <c r="G50" s="3"/>
      <c r="H50" s="3"/>
      <c r="I50" s="70" t="s">
        <v>79</v>
      </c>
      <c r="J50" s="71">
        <f>K20+K38</f>
        <v>4</v>
      </c>
      <c r="K50" s="71">
        <f>AV20+AV38</f>
        <v>8</v>
      </c>
      <c r="L50" s="71">
        <f>CG20+CG38</f>
        <v>8</v>
      </c>
      <c r="M50" s="71">
        <f>DR20+DR38</f>
        <v>8</v>
      </c>
      <c r="N50" s="63"/>
    </row>
    <row r="51">
      <c r="D51" s="3"/>
      <c r="E51" s="3"/>
      <c r="F51" s="3"/>
      <c r="G51" s="3"/>
      <c r="H51" s="3"/>
      <c r="I51" s="70" t="s">
        <v>80</v>
      </c>
      <c r="J51" s="71">
        <f>K37+K19</f>
        <v>4</v>
      </c>
      <c r="K51" s="71">
        <f>AV37+AV19</f>
        <v>8</v>
      </c>
      <c r="L51" s="71">
        <f>CG37+CG19</f>
        <v>8</v>
      </c>
      <c r="M51" s="71">
        <f>DR37+DR19</f>
        <v>8</v>
      </c>
      <c r="N51" s="63"/>
    </row>
    <row r="52">
      <c r="D52" s="3"/>
      <c r="E52" s="3"/>
      <c r="F52" s="3"/>
      <c r="G52" s="3"/>
      <c r="H52" s="3"/>
      <c r="I52" s="70" t="s">
        <v>81</v>
      </c>
      <c r="J52" s="71">
        <f>K36+K18</f>
        <v>4</v>
      </c>
      <c r="K52" s="71">
        <f>AV36+AV18</f>
        <v>8</v>
      </c>
      <c r="L52" s="71">
        <f>CG36+CG18</f>
        <v>8</v>
      </c>
      <c r="M52" s="71">
        <f>DR36+DR18</f>
        <v>8</v>
      </c>
      <c r="N52" s="63"/>
    </row>
    <row r="53">
      <c r="D53" s="3"/>
      <c r="E53" s="3"/>
      <c r="F53" s="3"/>
      <c r="G53" s="3"/>
      <c r="H53" s="3"/>
      <c r="I53" s="70" t="s">
        <v>82</v>
      </c>
      <c r="J53" s="71">
        <f>K35+K17</f>
        <v>4</v>
      </c>
      <c r="K53" s="71">
        <f>AV35+AV17</f>
        <v>8</v>
      </c>
      <c r="L53" s="71">
        <f>CG35+CG17</f>
        <v>8</v>
      </c>
      <c r="M53" s="71">
        <f>DR35+DR17</f>
        <v>8</v>
      </c>
      <c r="N53" s="63"/>
    </row>
    <row r="54">
      <c r="D54" s="3"/>
      <c r="E54" s="3"/>
      <c r="F54" s="3"/>
      <c r="G54" s="3"/>
      <c r="H54" s="3"/>
      <c r="I54" s="70" t="s">
        <v>83</v>
      </c>
      <c r="J54" s="71"/>
      <c r="K54" s="71"/>
      <c r="L54" s="71"/>
      <c r="M54" s="71"/>
      <c r="N54" s="63"/>
    </row>
    <row r="55">
      <c r="D55" s="3"/>
      <c r="E55" s="3"/>
      <c r="F55" s="3"/>
      <c r="G55" s="3"/>
      <c r="H55" s="3"/>
      <c r="I55" s="70" t="s">
        <v>84</v>
      </c>
      <c r="J55" s="71"/>
      <c r="K55" s="71"/>
      <c r="L55" s="71"/>
      <c r="M55" s="71"/>
      <c r="N55" s="63"/>
    </row>
    <row r="56">
      <c r="D56" s="3"/>
      <c r="E56" s="3"/>
      <c r="F56" s="3"/>
      <c r="G56" s="3"/>
      <c r="H56" s="3"/>
      <c r="I56" s="70" t="s">
        <v>85</v>
      </c>
      <c r="J56" s="71"/>
      <c r="K56" s="71"/>
      <c r="L56" s="71"/>
      <c r="M56" s="71"/>
      <c r="N56" s="63"/>
    </row>
    <row r="57">
      <c r="D57" s="3"/>
      <c r="E57" s="3"/>
      <c r="F57" s="3"/>
      <c r="G57" s="3"/>
      <c r="H57" s="3"/>
      <c r="I57" s="70" t="s">
        <v>86</v>
      </c>
      <c r="J57" s="71"/>
      <c r="K57" s="71"/>
      <c r="L57" s="71"/>
      <c r="M57" s="71"/>
      <c r="N57" s="63"/>
    </row>
    <row r="58">
      <c r="D58" s="3"/>
      <c r="E58" s="3"/>
      <c r="F58" s="3"/>
      <c r="G58" s="3"/>
      <c r="H58" s="3"/>
      <c r="I58" s="70" t="s">
        <v>87</v>
      </c>
      <c r="J58" s="71">
        <f t="shared" ref="J58:J59" si="215">K6+K8+K24+K26</f>
        <v>6</v>
      </c>
      <c r="K58" s="71">
        <f t="shared" ref="K58:K59" si="216">AV6+AV8+AV24+AV26</f>
        <v>12</v>
      </c>
      <c r="L58" s="71">
        <f t="shared" ref="L58:L59" si="217">CG6+CG8+CG24+CG26</f>
        <v>12</v>
      </c>
      <c r="M58" s="71">
        <f t="shared" ref="M58:M59" si="218">DR6+DR8+DR24+DR26</f>
        <v>12</v>
      </c>
      <c r="N58" s="63"/>
    </row>
    <row r="59">
      <c r="D59" s="3"/>
      <c r="E59" s="3"/>
      <c r="F59" s="3"/>
      <c r="G59" s="3"/>
      <c r="H59" s="3"/>
      <c r="I59" s="70" t="s">
        <v>88</v>
      </c>
      <c r="J59" s="71">
        <f t="shared" si="215"/>
        <v>6</v>
      </c>
      <c r="K59" s="71">
        <f t="shared" si="216"/>
        <v>12</v>
      </c>
      <c r="L59" s="71">
        <f t="shared" si="217"/>
        <v>12</v>
      </c>
      <c r="M59" s="71">
        <f t="shared" si="218"/>
        <v>12</v>
      </c>
      <c r="N59" s="63"/>
    </row>
    <row r="60">
      <c r="D60" s="3"/>
      <c r="E60" s="3"/>
      <c r="F60" s="3"/>
      <c r="G60" s="3"/>
      <c r="H60" s="3"/>
      <c r="I60" s="70" t="s">
        <v>89</v>
      </c>
      <c r="J60" s="71"/>
      <c r="K60" s="71"/>
      <c r="L60" s="71"/>
      <c r="M60" s="71"/>
      <c r="N60" s="63"/>
    </row>
    <row r="61">
      <c r="D61" s="3"/>
      <c r="E61" s="3"/>
      <c r="F61" s="3"/>
      <c r="G61" s="3"/>
      <c r="H61" s="3"/>
      <c r="I61" s="13"/>
      <c r="J61" s="72">
        <f t="shared" ref="J61:M61" si="219">SUM(J48:J60)</f>
        <v>40</v>
      </c>
      <c r="K61" s="72">
        <f t="shared" si="219"/>
        <v>80</v>
      </c>
      <c r="L61" s="72">
        <f t="shared" si="219"/>
        <v>80</v>
      </c>
      <c r="M61" s="72">
        <f t="shared" si="219"/>
        <v>80</v>
      </c>
      <c r="N61" s="63"/>
    </row>
    <row r="62">
      <c r="D62" s="3"/>
      <c r="E62" s="3"/>
      <c r="F62" s="3"/>
      <c r="G62" s="3"/>
      <c r="H62" s="3"/>
      <c r="I62" s="73"/>
      <c r="J62" s="73"/>
      <c r="K62" s="73"/>
      <c r="L62" s="73"/>
      <c r="M62" s="74"/>
      <c r="N62" s="63"/>
    </row>
    <row r="63">
      <c r="D63" s="3"/>
      <c r="E63" s="3"/>
      <c r="F63" s="3"/>
      <c r="G63" s="3"/>
      <c r="H63" s="3"/>
      <c r="I63" s="13"/>
      <c r="J63" s="13"/>
      <c r="K63" s="13"/>
      <c r="L63" s="13"/>
      <c r="M63" s="63"/>
      <c r="N63" s="63"/>
    </row>
    <row r="64">
      <c r="D64" s="3"/>
      <c r="E64" s="3"/>
      <c r="F64" s="3"/>
      <c r="G64" s="3"/>
      <c r="H64" s="3"/>
      <c r="I64" s="13"/>
      <c r="J64" s="75" t="s">
        <v>90</v>
      </c>
      <c r="K64" s="7"/>
      <c r="L64" s="7"/>
      <c r="M64" s="8"/>
      <c r="N64" s="63"/>
    </row>
    <row r="65">
      <c r="D65" s="3"/>
      <c r="E65" s="3"/>
      <c r="F65" s="3"/>
      <c r="G65" s="3"/>
      <c r="H65" s="3"/>
      <c r="I65" s="68" t="s">
        <v>72</v>
      </c>
      <c r="J65" s="69" t="s">
        <v>73</v>
      </c>
      <c r="K65" s="69" t="s">
        <v>74</v>
      </c>
      <c r="L65" s="69" t="s">
        <v>75</v>
      </c>
      <c r="M65" s="69" t="s">
        <v>76</v>
      </c>
      <c r="N65" s="76" t="s">
        <v>91</v>
      </c>
    </row>
    <row r="66">
      <c r="D66" s="3"/>
      <c r="E66" s="3"/>
      <c r="F66" s="3"/>
      <c r="G66" s="3"/>
      <c r="H66" s="3"/>
      <c r="I66" s="70" t="s">
        <v>77</v>
      </c>
      <c r="J66" s="71">
        <f t="shared" ref="J66:J67" si="220">AM13+AM15+AM31+AM33</f>
        <v>0</v>
      </c>
      <c r="K66" s="71">
        <f t="shared" ref="K66:K67" si="221">BX13+BX15+BX31+BX33</f>
        <v>0</v>
      </c>
      <c r="L66" s="71">
        <f t="shared" ref="L66:L67" si="222">DI13+DI15+DI31+DI33</f>
        <v>0</v>
      </c>
      <c r="M66" s="71">
        <f t="shared" ref="M66:M67" si="223">ET13+ET15+ET31+ET33</f>
        <v>0</v>
      </c>
      <c r="N66" s="71">
        <f t="shared" ref="N66:N71" si="224">SUM(J66:M66)</f>
        <v>0</v>
      </c>
    </row>
    <row r="67">
      <c r="D67" s="3"/>
      <c r="E67" s="3"/>
      <c r="F67" s="3"/>
      <c r="G67" s="3"/>
      <c r="H67" s="3"/>
      <c r="I67" s="70" t="s">
        <v>78</v>
      </c>
      <c r="J67" s="71">
        <f t="shared" si="220"/>
        <v>0</v>
      </c>
      <c r="K67" s="71">
        <f t="shared" si="221"/>
        <v>0</v>
      </c>
      <c r="L67" s="71">
        <f t="shared" si="222"/>
        <v>0</v>
      </c>
      <c r="M67" s="71">
        <f t="shared" si="223"/>
        <v>0</v>
      </c>
      <c r="N67" s="71">
        <f t="shared" si="224"/>
        <v>0</v>
      </c>
    </row>
    <row r="68">
      <c r="D68" s="3"/>
      <c r="E68" s="3"/>
      <c r="F68" s="3"/>
      <c r="G68" s="3"/>
      <c r="H68" s="3"/>
      <c r="I68" s="70" t="s">
        <v>79</v>
      </c>
      <c r="J68" s="71">
        <f>AM20+AM38</f>
        <v>0</v>
      </c>
      <c r="K68" s="71">
        <f>BX20+BX38</f>
        <v>0</v>
      </c>
      <c r="L68" s="71">
        <f>DI20+DI38</f>
        <v>0</v>
      </c>
      <c r="M68" s="71">
        <f>ET20+ET38</f>
        <v>0</v>
      </c>
      <c r="N68" s="71">
        <f t="shared" si="224"/>
        <v>0</v>
      </c>
    </row>
    <row r="69">
      <c r="D69" s="3"/>
      <c r="E69" s="3"/>
      <c r="F69" s="3"/>
      <c r="G69" s="3"/>
      <c r="H69" s="3"/>
      <c r="I69" s="70" t="s">
        <v>80</v>
      </c>
      <c r="J69" s="71">
        <f>AM37+AM19</f>
        <v>0</v>
      </c>
      <c r="K69" s="71">
        <f>BX37+BX19</f>
        <v>0</v>
      </c>
      <c r="L69" s="71">
        <f>DI37+DI19</f>
        <v>0</v>
      </c>
      <c r="M69" s="71">
        <f>ET37+ET19</f>
        <v>0</v>
      </c>
      <c r="N69" s="71">
        <f t="shared" si="224"/>
        <v>0</v>
      </c>
    </row>
    <row r="70">
      <c r="D70" s="3"/>
      <c r="E70" s="3"/>
      <c r="F70" s="3"/>
      <c r="G70" s="3"/>
      <c r="H70" s="3"/>
      <c r="I70" s="70" t="s">
        <v>81</v>
      </c>
      <c r="J70" s="71">
        <f>AM36+AM18</f>
        <v>0</v>
      </c>
      <c r="K70" s="71">
        <f>BX36+BX18</f>
        <v>0</v>
      </c>
      <c r="L70" s="71">
        <f>DI36+DI18</f>
        <v>0</v>
      </c>
      <c r="M70" s="71">
        <f>ET36+ET18</f>
        <v>0</v>
      </c>
      <c r="N70" s="71">
        <f t="shared" si="224"/>
        <v>0</v>
      </c>
    </row>
    <row r="71">
      <c r="D71" s="3"/>
      <c r="E71" s="3"/>
      <c r="F71" s="3"/>
      <c r="G71" s="3"/>
      <c r="H71" s="3"/>
      <c r="I71" s="70" t="s">
        <v>82</v>
      </c>
      <c r="J71" s="71">
        <f>AM35+AM17</f>
        <v>0</v>
      </c>
      <c r="K71" s="71">
        <f>BX35+BX17</f>
        <v>0</v>
      </c>
      <c r="L71" s="71">
        <f>DI35+DI17</f>
        <v>0</v>
      </c>
      <c r="M71" s="71">
        <f>ET35+ET17</f>
        <v>0</v>
      </c>
      <c r="N71" s="71">
        <f t="shared" si="224"/>
        <v>0</v>
      </c>
    </row>
    <row r="72">
      <c r="D72" s="3"/>
      <c r="E72" s="3"/>
      <c r="F72" s="3"/>
      <c r="G72" s="3"/>
      <c r="H72" s="3"/>
      <c r="I72" s="70" t="s">
        <v>83</v>
      </c>
      <c r="J72" s="71"/>
      <c r="K72" s="71"/>
      <c r="L72" s="71"/>
      <c r="M72" s="71"/>
      <c r="N72" s="71"/>
    </row>
    <row r="73">
      <c r="D73" s="3"/>
      <c r="E73" s="3"/>
      <c r="F73" s="3"/>
      <c r="G73" s="3"/>
      <c r="H73" s="3"/>
      <c r="I73" s="70" t="s">
        <v>84</v>
      </c>
      <c r="J73" s="71"/>
      <c r="K73" s="71"/>
      <c r="L73" s="71"/>
      <c r="M73" s="71"/>
      <c r="N73" s="71"/>
    </row>
    <row r="74">
      <c r="D74" s="3"/>
      <c r="E74" s="3"/>
      <c r="F74" s="3"/>
      <c r="G74" s="3"/>
      <c r="H74" s="3"/>
      <c r="I74" s="70" t="s">
        <v>85</v>
      </c>
      <c r="J74" s="71"/>
      <c r="K74" s="71"/>
      <c r="L74" s="71"/>
      <c r="M74" s="71"/>
      <c r="N74" s="71"/>
    </row>
    <row r="75">
      <c r="D75" s="3"/>
      <c r="E75" s="3"/>
      <c r="F75" s="3"/>
      <c r="G75" s="3"/>
      <c r="H75" s="3"/>
      <c r="I75" s="70" t="s">
        <v>86</v>
      </c>
      <c r="J75" s="71"/>
      <c r="K75" s="71"/>
      <c r="L75" s="71"/>
      <c r="M75" s="71"/>
      <c r="N75" s="71"/>
    </row>
    <row r="76">
      <c r="D76" s="3"/>
      <c r="E76" s="3"/>
      <c r="F76" s="3"/>
      <c r="G76" s="3"/>
      <c r="H76" s="3"/>
      <c r="I76" s="70" t="s">
        <v>87</v>
      </c>
      <c r="J76" s="71">
        <f t="shared" ref="J76:J77" si="225">AM6+AM8+AM24+AM26</f>
        <v>0</v>
      </c>
      <c r="K76" s="71">
        <f t="shared" ref="K76:K77" si="226">BX6+BX8+BX24+BX26</f>
        <v>0</v>
      </c>
      <c r="L76" s="71">
        <f t="shared" ref="L76:L77" si="227">DI6+DI8+DI24+DI26</f>
        <v>0</v>
      </c>
      <c r="M76" s="71">
        <f t="shared" ref="M76:M77" si="228">ET6+ET8+ET24+ET26</f>
        <v>0</v>
      </c>
      <c r="N76" s="71">
        <f t="shared" ref="N76:N77" si="229">SUM(J76:M76)</f>
        <v>0</v>
      </c>
    </row>
    <row r="77">
      <c r="D77" s="3"/>
      <c r="E77" s="3"/>
      <c r="F77" s="3"/>
      <c r="G77" s="3"/>
      <c r="H77" s="3"/>
      <c r="I77" s="70" t="s">
        <v>88</v>
      </c>
      <c r="J77" s="71">
        <f t="shared" si="225"/>
        <v>0</v>
      </c>
      <c r="K77" s="71">
        <f t="shared" si="226"/>
        <v>0</v>
      </c>
      <c r="L77" s="71">
        <f t="shared" si="227"/>
        <v>0</v>
      </c>
      <c r="M77" s="71">
        <f t="shared" si="228"/>
        <v>0</v>
      </c>
      <c r="N77" s="71">
        <f t="shared" si="229"/>
        <v>0</v>
      </c>
    </row>
    <row r="78">
      <c r="D78" s="3"/>
      <c r="E78" s="3"/>
      <c r="F78" s="3"/>
      <c r="G78" s="3"/>
      <c r="H78" s="3"/>
      <c r="I78" s="70" t="s">
        <v>89</v>
      </c>
      <c r="J78" s="71"/>
      <c r="K78" s="71"/>
      <c r="L78" s="71"/>
      <c r="M78" s="71"/>
      <c r="N78" s="71"/>
    </row>
    <row r="79">
      <c r="D79" s="3"/>
      <c r="E79" s="3"/>
      <c r="F79" s="3"/>
      <c r="G79" s="3"/>
      <c r="H79" s="3"/>
      <c r="I79" s="13"/>
      <c r="J79" s="72">
        <f t="shared" ref="J79:M79" si="230">SUM(J66:J78)</f>
        <v>0</v>
      </c>
      <c r="K79" s="72">
        <f t="shared" si="230"/>
        <v>0</v>
      </c>
      <c r="L79" s="72">
        <f t="shared" si="230"/>
        <v>0</v>
      </c>
      <c r="M79" s="72">
        <f t="shared" si="230"/>
        <v>0</v>
      </c>
      <c r="N79" s="63"/>
    </row>
    <row r="80">
      <c r="D80" s="3"/>
      <c r="E80" s="3"/>
      <c r="F80" s="3"/>
      <c r="G80" s="3"/>
      <c r="H80" s="3"/>
      <c r="I80" s="77"/>
      <c r="J80" s="63"/>
      <c r="K80" s="78" t="str">
        <f t="shared" ref="K80:M80" si="231">IFERROR(K79/J79-1,"")</f>
        <v/>
      </c>
      <c r="L80" s="78" t="str">
        <f t="shared" si="231"/>
        <v/>
      </c>
      <c r="M80" s="78" t="str">
        <f t="shared" si="231"/>
        <v/>
      </c>
      <c r="N80" s="63"/>
    </row>
    <row r="81">
      <c r="D81" s="3"/>
      <c r="E81" s="3"/>
      <c r="F81" s="3"/>
      <c r="G81" s="3"/>
      <c r="H81" s="3"/>
      <c r="I81" s="13"/>
      <c r="J81" s="13"/>
      <c r="K81" s="13"/>
      <c r="L81" s="62"/>
      <c r="M81" s="13"/>
      <c r="N81" s="63"/>
    </row>
    <row r="82">
      <c r="D82" s="3"/>
      <c r="E82" s="3"/>
      <c r="F82" s="3"/>
      <c r="G82" s="3"/>
      <c r="H82" s="3"/>
      <c r="I82" s="15" t="s">
        <v>7</v>
      </c>
      <c r="J82" s="7"/>
      <c r="K82" s="7"/>
      <c r="L82" s="7"/>
      <c r="M82" s="8"/>
      <c r="N82" s="63"/>
    </row>
    <row r="83">
      <c r="D83" s="3"/>
      <c r="E83" s="3"/>
      <c r="F83" s="3"/>
      <c r="G83" s="3"/>
      <c r="H83" s="3"/>
      <c r="I83" s="18" t="s">
        <v>1</v>
      </c>
      <c r="J83" s="69" t="s">
        <v>73</v>
      </c>
      <c r="K83" s="69" t="s">
        <v>74</v>
      </c>
      <c r="L83" s="69" t="s">
        <v>75</v>
      </c>
      <c r="M83" s="69" t="s">
        <v>76</v>
      </c>
      <c r="N83" s="63"/>
    </row>
    <row r="84">
      <c r="D84" s="3"/>
      <c r="E84" s="3"/>
      <c r="F84" s="3"/>
      <c r="G84" s="3"/>
      <c r="H84" s="3"/>
      <c r="I84" s="18" t="s">
        <v>52</v>
      </c>
      <c r="J84" s="79"/>
      <c r="K84" s="79"/>
      <c r="L84" s="50"/>
      <c r="M84" s="18"/>
      <c r="N84" s="76" t="s">
        <v>92</v>
      </c>
    </row>
    <row r="85">
      <c r="D85" s="3"/>
      <c r="E85" s="3"/>
      <c r="F85" s="3"/>
      <c r="G85" s="3"/>
      <c r="H85" s="3"/>
      <c r="I85" s="4" t="str">
        <f t="shared" ref="I85:I88" si="232">$B6</f>
        <v>Low Cable Squat [Trainer+]</v>
      </c>
      <c r="J85" s="24">
        <f t="shared" ref="J85:J88" si="233">AK6</f>
        <v>0</v>
      </c>
      <c r="K85" s="24">
        <f t="shared" ref="K85:K88" si="234">BV6</f>
        <v>0</v>
      </c>
      <c r="L85" s="57">
        <f t="shared" ref="L85:L88" si="235">DG6</f>
        <v>0</v>
      </c>
      <c r="M85" s="24">
        <f t="shared" ref="M85:M88" si="236">ER6</f>
        <v>0</v>
      </c>
      <c r="N85" s="24">
        <f t="shared" ref="N85:N88" si="237">MAX(J85:M85)</f>
        <v>0</v>
      </c>
    </row>
    <row r="86">
      <c r="D86" s="3"/>
      <c r="E86" s="3"/>
      <c r="F86" s="3"/>
      <c r="G86" s="3"/>
      <c r="H86" s="3"/>
      <c r="I86" s="4" t="str">
        <f t="shared" si="232"/>
        <v>Romanian Deadlift [Trainer+]</v>
      </c>
      <c r="J86" s="24">
        <f t="shared" si="233"/>
        <v>0</v>
      </c>
      <c r="K86" s="24">
        <f t="shared" si="234"/>
        <v>0</v>
      </c>
      <c r="L86" s="57">
        <f t="shared" si="235"/>
        <v>0</v>
      </c>
      <c r="M86" s="24">
        <f t="shared" si="236"/>
        <v>0</v>
      </c>
      <c r="N86" s="24">
        <f t="shared" si="237"/>
        <v>0</v>
      </c>
    </row>
    <row r="87">
      <c r="D87" s="3"/>
      <c r="E87" s="3"/>
      <c r="F87" s="3"/>
      <c r="G87" s="3"/>
      <c r="H87" s="3"/>
      <c r="I87" s="4" t="str">
        <f t="shared" si="232"/>
        <v>Single Leg Extension (RPT) [Unica]</v>
      </c>
      <c r="J87" s="24">
        <f t="shared" si="233"/>
        <v>0</v>
      </c>
      <c r="K87" s="24">
        <f t="shared" si="234"/>
        <v>0</v>
      </c>
      <c r="L87" s="57">
        <f t="shared" si="235"/>
        <v>0</v>
      </c>
      <c r="M87" s="24">
        <f t="shared" si="236"/>
        <v>0</v>
      </c>
      <c r="N87" s="24">
        <f t="shared" si="237"/>
        <v>0</v>
      </c>
    </row>
    <row r="88">
      <c r="D88" s="3"/>
      <c r="E88" s="3"/>
      <c r="F88" s="3"/>
      <c r="G88" s="3"/>
      <c r="H88" s="3"/>
      <c r="I88" s="4" t="str">
        <f t="shared" si="232"/>
        <v>Single Leg Curl (RPT) [Unica]</v>
      </c>
      <c r="J88" s="24">
        <f t="shared" si="233"/>
        <v>0</v>
      </c>
      <c r="K88" s="24">
        <f t="shared" si="234"/>
        <v>0</v>
      </c>
      <c r="L88" s="57">
        <f t="shared" si="235"/>
        <v>0</v>
      </c>
      <c r="M88" s="24">
        <f t="shared" si="236"/>
        <v>0</v>
      </c>
      <c r="N88" s="24">
        <f t="shared" si="237"/>
        <v>0</v>
      </c>
    </row>
    <row r="89">
      <c r="D89" s="3"/>
      <c r="E89" s="3"/>
      <c r="F89" s="3"/>
      <c r="G89" s="3"/>
      <c r="H89" s="3"/>
      <c r="I89" s="46" t="str">
        <f>I82</f>
        <v>1RM</v>
      </c>
      <c r="J89" s="7"/>
      <c r="K89" s="7"/>
      <c r="L89" s="7"/>
      <c r="M89" s="8"/>
      <c r="N89" s="63"/>
    </row>
    <row r="90">
      <c r="D90" s="3"/>
      <c r="E90" s="3"/>
      <c r="F90" s="3"/>
      <c r="G90" s="3"/>
      <c r="H90" s="3"/>
      <c r="I90" s="18" t="s">
        <v>1</v>
      </c>
      <c r="J90" s="69" t="str">
        <f t="shared" ref="J90:M90" si="238">J83</f>
        <v>W1</v>
      </c>
      <c r="K90" s="69" t="str">
        <f t="shared" si="238"/>
        <v>W2</v>
      </c>
      <c r="L90" s="69" t="str">
        <f t="shared" si="238"/>
        <v>W3</v>
      </c>
      <c r="M90" s="69" t="str">
        <f t="shared" si="238"/>
        <v>W4</v>
      </c>
      <c r="N90" s="63"/>
    </row>
    <row r="91">
      <c r="D91" s="3"/>
      <c r="E91" s="3"/>
      <c r="F91" s="3"/>
      <c r="G91" s="3"/>
      <c r="H91" s="3"/>
      <c r="I91" s="18" t="s">
        <v>57</v>
      </c>
      <c r="J91" s="24"/>
      <c r="K91" s="24"/>
      <c r="L91" s="24"/>
      <c r="M91" s="4"/>
      <c r="N91" s="76" t="s">
        <v>92</v>
      </c>
    </row>
    <row r="92">
      <c r="D92" s="3"/>
      <c r="E92" s="3"/>
      <c r="F92" s="3"/>
      <c r="G92" s="3"/>
      <c r="H92" s="3"/>
      <c r="I92" s="4" t="str">
        <f t="shared" ref="I92:I99" si="239">$B13</f>
        <v>Bench Press [Trainer+]</v>
      </c>
      <c r="J92" s="24">
        <f t="shared" ref="J92:J99" si="240">AK13</f>
        <v>0</v>
      </c>
      <c r="K92" s="24">
        <f t="shared" ref="K92:K99" si="241">BV13</f>
        <v>0</v>
      </c>
      <c r="L92" s="24">
        <f t="shared" ref="L92:L99" si="242">DG13</f>
        <v>0</v>
      </c>
      <c r="M92" s="24">
        <f t="shared" ref="M92:M99" si="243">ER13</f>
        <v>0</v>
      </c>
      <c r="N92" s="24">
        <f t="shared" ref="N92:N99" si="244">MAX(J92:M92)</f>
        <v>0</v>
      </c>
    </row>
    <row r="93">
      <c r="D93" s="3"/>
      <c r="E93" s="3"/>
      <c r="F93" s="3"/>
      <c r="G93" s="3"/>
      <c r="H93" s="3"/>
      <c r="I93" s="4" t="str">
        <f t="shared" si="239"/>
        <v>Single Arm Row [Unica]</v>
      </c>
      <c r="J93" s="24">
        <f t="shared" si="240"/>
        <v>0</v>
      </c>
      <c r="K93" s="24">
        <f t="shared" si="241"/>
        <v>0</v>
      </c>
      <c r="L93" s="24">
        <f t="shared" si="242"/>
        <v>0</v>
      </c>
      <c r="M93" s="24">
        <f t="shared" si="243"/>
        <v>0</v>
      </c>
      <c r="N93" s="24">
        <f t="shared" si="244"/>
        <v>0</v>
      </c>
    </row>
    <row r="94">
      <c r="D94" s="3"/>
      <c r="E94" s="3"/>
      <c r="F94" s="3"/>
      <c r="G94" s="3"/>
      <c r="H94" s="3"/>
      <c r="I94" s="4" t="str">
        <f t="shared" si="239"/>
        <v>Lying Pec Flys (RPT) [Trainer+]</v>
      </c>
      <c r="J94" s="24">
        <f t="shared" si="240"/>
        <v>0</v>
      </c>
      <c r="K94" s="24">
        <f t="shared" si="241"/>
        <v>0</v>
      </c>
      <c r="L94" s="24">
        <f t="shared" si="242"/>
        <v>0</v>
      </c>
      <c r="M94" s="24">
        <f t="shared" si="243"/>
        <v>0</v>
      </c>
      <c r="N94" s="24">
        <f t="shared" si="244"/>
        <v>0</v>
      </c>
    </row>
    <row r="95">
      <c r="D95" s="3"/>
      <c r="E95" s="3"/>
      <c r="F95" s="3"/>
      <c r="G95" s="3"/>
      <c r="H95" s="3"/>
      <c r="I95" s="4" t="str">
        <f t="shared" si="239"/>
        <v>Lat Pulldown (RPT) [Unica]</v>
      </c>
      <c r="J95" s="24">
        <f t="shared" si="240"/>
        <v>0</v>
      </c>
      <c r="K95" s="24">
        <f t="shared" si="241"/>
        <v>0</v>
      </c>
      <c r="L95" s="24">
        <f t="shared" si="242"/>
        <v>0</v>
      </c>
      <c r="M95" s="24">
        <f t="shared" si="243"/>
        <v>0</v>
      </c>
      <c r="N95" s="24">
        <f t="shared" si="244"/>
        <v>0</v>
      </c>
    </row>
    <row r="96">
      <c r="D96" s="3"/>
      <c r="E96" s="3"/>
      <c r="F96" s="3"/>
      <c r="G96" s="3"/>
      <c r="H96" s="3"/>
      <c r="I96" s="4" t="str">
        <f t="shared" si="239"/>
        <v>Lateral Raise (RPT) [Trainer+]</v>
      </c>
      <c r="J96" s="24">
        <f t="shared" si="240"/>
        <v>0</v>
      </c>
      <c r="K96" s="24">
        <f t="shared" si="241"/>
        <v>0</v>
      </c>
      <c r="L96" s="24">
        <f t="shared" si="242"/>
        <v>0</v>
      </c>
      <c r="M96" s="24">
        <f t="shared" si="243"/>
        <v>0</v>
      </c>
      <c r="N96" s="24">
        <f t="shared" si="244"/>
        <v>0</v>
      </c>
    </row>
    <row r="97">
      <c r="D97" s="3"/>
      <c r="E97" s="3"/>
      <c r="F97" s="3"/>
      <c r="G97" s="3"/>
      <c r="H97" s="3"/>
      <c r="I97" s="4" t="str">
        <f t="shared" si="239"/>
        <v>Rope Seated Face Pull (RPT) [Unica]</v>
      </c>
      <c r="J97" s="24">
        <f t="shared" si="240"/>
        <v>0</v>
      </c>
      <c r="K97" s="24">
        <f t="shared" si="241"/>
        <v>0</v>
      </c>
      <c r="L97" s="24">
        <f t="shared" si="242"/>
        <v>0</v>
      </c>
      <c r="M97" s="24">
        <f t="shared" si="243"/>
        <v>0</v>
      </c>
      <c r="N97" s="24">
        <f t="shared" si="244"/>
        <v>0</v>
      </c>
    </row>
    <row r="98">
      <c r="D98" s="3"/>
      <c r="E98" s="3"/>
      <c r="F98" s="3"/>
      <c r="G98" s="3"/>
      <c r="H98" s="3"/>
      <c r="I98" s="4" t="str">
        <f t="shared" si="239"/>
        <v>V-Bar Tricep Pushdown (RPT) [Unica]</v>
      </c>
      <c r="J98" s="24">
        <f t="shared" si="240"/>
        <v>0</v>
      </c>
      <c r="K98" s="24">
        <f t="shared" si="241"/>
        <v>0</v>
      </c>
      <c r="L98" s="24">
        <f t="shared" si="242"/>
        <v>0</v>
      </c>
      <c r="M98" s="24">
        <f t="shared" si="243"/>
        <v>0</v>
      </c>
      <c r="N98" s="24">
        <f t="shared" si="244"/>
        <v>0</v>
      </c>
    </row>
    <row r="99">
      <c r="D99" s="3"/>
      <c r="E99" s="3"/>
      <c r="F99" s="3"/>
      <c r="G99" s="3"/>
      <c r="H99" s="3"/>
      <c r="I99" s="4" t="str">
        <f t="shared" si="239"/>
        <v>Seated Bicep Curl (RPT) [Trainer+]</v>
      </c>
      <c r="J99" s="24">
        <f t="shared" si="240"/>
        <v>0</v>
      </c>
      <c r="K99" s="24">
        <f t="shared" si="241"/>
        <v>0</v>
      </c>
      <c r="L99" s="24">
        <f t="shared" si="242"/>
        <v>0</v>
      </c>
      <c r="M99" s="24">
        <f t="shared" si="243"/>
        <v>0</v>
      </c>
      <c r="N99" s="24">
        <f t="shared" si="244"/>
        <v>0</v>
      </c>
    </row>
    <row r="100">
      <c r="D100" s="3"/>
      <c r="E100" s="3"/>
      <c r="F100" s="3"/>
      <c r="G100" s="3"/>
      <c r="H100" s="3"/>
      <c r="I100" s="46" t="str">
        <f>I89</f>
        <v>1RM</v>
      </c>
      <c r="J100" s="7"/>
      <c r="K100" s="7"/>
      <c r="L100" s="7"/>
      <c r="M100" s="8"/>
      <c r="N100" s="63"/>
    </row>
    <row r="101">
      <c r="D101" s="3"/>
      <c r="E101" s="3"/>
      <c r="F101" s="3"/>
      <c r="G101" s="3"/>
      <c r="H101" s="3"/>
      <c r="I101" s="18" t="s">
        <v>1</v>
      </c>
      <c r="J101" s="69" t="str">
        <f t="shared" ref="J101:M101" si="245">J90</f>
        <v>W1</v>
      </c>
      <c r="K101" s="69" t="str">
        <f t="shared" si="245"/>
        <v>W2</v>
      </c>
      <c r="L101" s="69" t="str">
        <f t="shared" si="245"/>
        <v>W3</v>
      </c>
      <c r="M101" s="69" t="str">
        <f t="shared" si="245"/>
        <v>W4</v>
      </c>
      <c r="N101" s="63"/>
    </row>
    <row r="102">
      <c r="D102" s="3"/>
      <c r="E102" s="3"/>
      <c r="F102" s="3"/>
      <c r="G102" s="3"/>
      <c r="H102" s="3"/>
      <c r="I102" s="18" t="s">
        <v>67</v>
      </c>
      <c r="J102" s="24"/>
      <c r="K102" s="50"/>
      <c r="L102" s="50"/>
      <c r="M102" s="18"/>
      <c r="N102" s="76" t="s">
        <v>92</v>
      </c>
    </row>
    <row r="103">
      <c r="D103" s="3"/>
      <c r="E103" s="3"/>
      <c r="F103" s="3"/>
      <c r="G103" s="3"/>
      <c r="H103" s="3"/>
      <c r="I103" s="4" t="str">
        <f t="shared" ref="I103:I106" si="246">$B24</f>
        <v>Low Cable Squat [Trainer+]</v>
      </c>
      <c r="J103" s="24">
        <f t="shared" ref="J103:J106" si="247">AK24</f>
        <v>0</v>
      </c>
      <c r="K103" s="24">
        <f t="shared" ref="K103:K106" si="248">BV24</f>
        <v>0</v>
      </c>
      <c r="L103" s="24">
        <f t="shared" ref="L103:L106" si="249">DG24</f>
        <v>0</v>
      </c>
      <c r="M103" s="24">
        <f t="shared" ref="M103:M106" si="250">ER24</f>
        <v>0</v>
      </c>
      <c r="N103" s="24">
        <f t="shared" ref="N103:N106" si="251">MAX(J103:M103)</f>
        <v>0</v>
      </c>
    </row>
    <row r="104">
      <c r="D104" s="3"/>
      <c r="E104" s="3"/>
      <c r="F104" s="3"/>
      <c r="G104" s="3"/>
      <c r="H104" s="3"/>
      <c r="I104" s="4" t="str">
        <f t="shared" si="246"/>
        <v>Romanian Deadlift [Trainer+]</v>
      </c>
      <c r="J104" s="24">
        <f t="shared" si="247"/>
        <v>0</v>
      </c>
      <c r="K104" s="24">
        <f t="shared" si="248"/>
        <v>0</v>
      </c>
      <c r="L104" s="24">
        <f t="shared" si="249"/>
        <v>0</v>
      </c>
      <c r="M104" s="24">
        <f t="shared" si="250"/>
        <v>0</v>
      </c>
      <c r="N104" s="24">
        <f t="shared" si="251"/>
        <v>0</v>
      </c>
    </row>
    <row r="105">
      <c r="D105" s="3"/>
      <c r="E105" s="3"/>
      <c r="F105" s="3"/>
      <c r="G105" s="3"/>
      <c r="H105" s="3"/>
      <c r="I105" s="4" t="str">
        <f t="shared" si="246"/>
        <v>Single Leg Extension (RPT) [Unica]</v>
      </c>
      <c r="J105" s="24">
        <f t="shared" si="247"/>
        <v>0</v>
      </c>
      <c r="K105" s="24">
        <f t="shared" si="248"/>
        <v>0</v>
      </c>
      <c r="L105" s="24">
        <f t="shared" si="249"/>
        <v>0</v>
      </c>
      <c r="M105" s="24">
        <f t="shared" si="250"/>
        <v>0</v>
      </c>
      <c r="N105" s="24">
        <f t="shared" si="251"/>
        <v>0</v>
      </c>
    </row>
    <row r="106">
      <c r="D106" s="3"/>
      <c r="E106" s="3"/>
      <c r="F106" s="3"/>
      <c r="G106" s="3"/>
      <c r="H106" s="3"/>
      <c r="I106" s="4" t="str">
        <f t="shared" si="246"/>
        <v>Single Leg Curl (RPT) [Unica]</v>
      </c>
      <c r="J106" s="24">
        <f t="shared" si="247"/>
        <v>0</v>
      </c>
      <c r="K106" s="24">
        <f t="shared" si="248"/>
        <v>0</v>
      </c>
      <c r="L106" s="24">
        <f t="shared" si="249"/>
        <v>0</v>
      </c>
      <c r="M106" s="24">
        <f t="shared" si="250"/>
        <v>0</v>
      </c>
      <c r="N106" s="24">
        <f t="shared" si="251"/>
        <v>0</v>
      </c>
    </row>
    <row r="107">
      <c r="D107" s="3"/>
      <c r="E107" s="3"/>
      <c r="F107" s="3"/>
      <c r="G107" s="3"/>
      <c r="H107" s="3"/>
      <c r="I107" s="46" t="str">
        <f>I100</f>
        <v>1RM</v>
      </c>
      <c r="J107" s="7"/>
      <c r="K107" s="7"/>
      <c r="L107" s="7"/>
      <c r="M107" s="8"/>
      <c r="N107" s="63"/>
    </row>
    <row r="108">
      <c r="D108" s="3"/>
      <c r="E108" s="3"/>
      <c r="F108" s="3"/>
      <c r="G108" s="3"/>
      <c r="H108" s="3"/>
      <c r="I108" s="18" t="s">
        <v>1</v>
      </c>
      <c r="J108" s="69" t="str">
        <f t="shared" ref="J108:M108" si="252">J101</f>
        <v>W1</v>
      </c>
      <c r="K108" s="69" t="str">
        <f t="shared" si="252"/>
        <v>W2</v>
      </c>
      <c r="L108" s="69" t="str">
        <f t="shared" si="252"/>
        <v>W3</v>
      </c>
      <c r="M108" s="69" t="str">
        <f t="shared" si="252"/>
        <v>W4</v>
      </c>
      <c r="N108" s="63"/>
    </row>
    <row r="109">
      <c r="D109" s="3"/>
      <c r="E109" s="3"/>
      <c r="F109" s="3"/>
      <c r="G109" s="3"/>
      <c r="H109" s="3"/>
      <c r="I109" s="18" t="s">
        <v>68</v>
      </c>
      <c r="J109" s="50"/>
      <c r="K109" s="50"/>
      <c r="L109" s="50"/>
      <c r="M109" s="18"/>
      <c r="N109" s="76" t="s">
        <v>92</v>
      </c>
    </row>
    <row r="110">
      <c r="D110" s="3"/>
      <c r="E110" s="3"/>
      <c r="F110" s="3"/>
      <c r="G110" s="3"/>
      <c r="H110" s="3"/>
      <c r="I110" s="4" t="str">
        <f t="shared" ref="I110:I117" si="253">$B31</f>
        <v>Bench Press [Trainer+]</v>
      </c>
      <c r="J110" s="24">
        <f t="shared" ref="J110:J117" si="254">AK31</f>
        <v>0</v>
      </c>
      <c r="K110" s="24">
        <f t="shared" ref="K110:K117" si="255">BV31</f>
        <v>0</v>
      </c>
      <c r="L110" s="24">
        <f t="shared" ref="L110:L117" si="256">DG31</f>
        <v>0</v>
      </c>
      <c r="M110" s="24">
        <f t="shared" ref="M110:M117" si="257">ER31</f>
        <v>0</v>
      </c>
      <c r="N110" s="24">
        <f t="shared" ref="N110:N117" si="258">MAX(J110:M110)</f>
        <v>0</v>
      </c>
    </row>
    <row r="111">
      <c r="D111" s="3"/>
      <c r="E111" s="3"/>
      <c r="F111" s="3"/>
      <c r="G111" s="3"/>
      <c r="H111" s="3"/>
      <c r="I111" s="4" t="str">
        <f t="shared" si="253"/>
        <v>Single Arm Row [Unica]</v>
      </c>
      <c r="J111" s="24">
        <f t="shared" si="254"/>
        <v>0</v>
      </c>
      <c r="K111" s="24">
        <f t="shared" si="255"/>
        <v>0</v>
      </c>
      <c r="L111" s="24">
        <f t="shared" si="256"/>
        <v>0</v>
      </c>
      <c r="M111" s="24">
        <f t="shared" si="257"/>
        <v>0</v>
      </c>
      <c r="N111" s="24">
        <f t="shared" si="258"/>
        <v>0</v>
      </c>
    </row>
    <row r="112">
      <c r="D112" s="3"/>
      <c r="E112" s="3"/>
      <c r="F112" s="3"/>
      <c r="G112" s="3"/>
      <c r="H112" s="3"/>
      <c r="I112" s="4" t="str">
        <f t="shared" si="253"/>
        <v>Lying Pec Flys (RPT) [Trainer+]</v>
      </c>
      <c r="J112" s="24">
        <f t="shared" si="254"/>
        <v>0</v>
      </c>
      <c r="K112" s="24">
        <f t="shared" si="255"/>
        <v>0</v>
      </c>
      <c r="L112" s="24">
        <f t="shared" si="256"/>
        <v>0</v>
      </c>
      <c r="M112" s="24">
        <f t="shared" si="257"/>
        <v>0</v>
      </c>
      <c r="N112" s="24">
        <f t="shared" si="258"/>
        <v>0</v>
      </c>
    </row>
    <row r="113">
      <c r="D113" s="3"/>
      <c r="E113" s="3"/>
      <c r="F113" s="3"/>
      <c r="G113" s="3"/>
      <c r="H113" s="3"/>
      <c r="I113" s="4" t="str">
        <f t="shared" si="253"/>
        <v>Lat Pulldown (RPT) [Unica]</v>
      </c>
      <c r="J113" s="24">
        <f t="shared" si="254"/>
        <v>0</v>
      </c>
      <c r="K113" s="24">
        <f t="shared" si="255"/>
        <v>0</v>
      </c>
      <c r="L113" s="24">
        <f t="shared" si="256"/>
        <v>0</v>
      </c>
      <c r="M113" s="24">
        <f t="shared" si="257"/>
        <v>0</v>
      </c>
      <c r="N113" s="24">
        <f t="shared" si="258"/>
        <v>0</v>
      </c>
    </row>
    <row r="114">
      <c r="D114" s="3"/>
      <c r="E114" s="3"/>
      <c r="F114" s="3"/>
      <c r="G114" s="3"/>
      <c r="H114" s="3"/>
      <c r="I114" s="4" t="str">
        <f t="shared" si="253"/>
        <v>Lateral Raise (RPT) [Trainer+]</v>
      </c>
      <c r="J114" s="24">
        <f t="shared" si="254"/>
        <v>0</v>
      </c>
      <c r="K114" s="24">
        <f t="shared" si="255"/>
        <v>0</v>
      </c>
      <c r="L114" s="24">
        <f t="shared" si="256"/>
        <v>0</v>
      </c>
      <c r="M114" s="24">
        <f t="shared" si="257"/>
        <v>0</v>
      </c>
      <c r="N114" s="24">
        <f t="shared" si="258"/>
        <v>0</v>
      </c>
    </row>
    <row r="115">
      <c r="D115" s="3"/>
      <c r="E115" s="3"/>
      <c r="F115" s="3"/>
      <c r="G115" s="3"/>
      <c r="H115" s="3"/>
      <c r="I115" s="4" t="str">
        <f t="shared" si="253"/>
        <v>Rope Seated Face Pull (RPT) [Unica]</v>
      </c>
      <c r="J115" s="24">
        <f t="shared" si="254"/>
        <v>0</v>
      </c>
      <c r="K115" s="24">
        <f t="shared" si="255"/>
        <v>0</v>
      </c>
      <c r="L115" s="24">
        <f t="shared" si="256"/>
        <v>0</v>
      </c>
      <c r="M115" s="24">
        <f t="shared" si="257"/>
        <v>0</v>
      </c>
      <c r="N115" s="24">
        <f t="shared" si="258"/>
        <v>0</v>
      </c>
    </row>
    <row r="116">
      <c r="D116" s="3"/>
      <c r="E116" s="3"/>
      <c r="F116" s="3"/>
      <c r="G116" s="3"/>
      <c r="H116" s="3"/>
      <c r="I116" s="4" t="str">
        <f t="shared" si="253"/>
        <v>V-Bar Tricep Pushdown (RPT) [Unica]</v>
      </c>
      <c r="J116" s="24">
        <f t="shared" si="254"/>
        <v>0</v>
      </c>
      <c r="K116" s="24">
        <f t="shared" si="255"/>
        <v>0</v>
      </c>
      <c r="L116" s="24">
        <f t="shared" si="256"/>
        <v>0</v>
      </c>
      <c r="M116" s="24">
        <f t="shared" si="257"/>
        <v>0</v>
      </c>
      <c r="N116" s="24">
        <f t="shared" si="258"/>
        <v>0</v>
      </c>
    </row>
    <row r="117">
      <c r="D117" s="3"/>
      <c r="E117" s="3"/>
      <c r="F117" s="3"/>
      <c r="G117" s="3"/>
      <c r="H117" s="3"/>
      <c r="I117" s="4" t="str">
        <f t="shared" si="253"/>
        <v>Seated Bicep Curl (RPT) [Trainer+]</v>
      </c>
      <c r="J117" s="24">
        <f t="shared" si="254"/>
        <v>0</v>
      </c>
      <c r="K117" s="24">
        <f t="shared" si="255"/>
        <v>0</v>
      </c>
      <c r="L117" s="24">
        <f t="shared" si="256"/>
        <v>0</v>
      </c>
      <c r="M117" s="24">
        <f t="shared" si="257"/>
        <v>0</v>
      </c>
      <c r="N117" s="24">
        <f t="shared" si="258"/>
        <v>0</v>
      </c>
    </row>
    <row r="118">
      <c r="D118" s="3"/>
      <c r="E118" s="3"/>
      <c r="F118" s="3"/>
      <c r="G118" s="3"/>
      <c r="H118" s="3"/>
      <c r="I118" s="13"/>
      <c r="J118" s="13"/>
      <c r="K118" s="13"/>
      <c r="L118" s="62"/>
      <c r="M118" s="13"/>
      <c r="N118" s="63"/>
    </row>
    <row r="119">
      <c r="D119" s="3"/>
      <c r="E119" s="3"/>
      <c r="F119" s="3"/>
      <c r="G119" s="3"/>
      <c r="H119" s="3"/>
      <c r="I119" s="13"/>
      <c r="J119" s="13"/>
      <c r="K119" s="13"/>
      <c r="L119" s="62"/>
      <c r="M119" s="13"/>
      <c r="N119" s="63"/>
    </row>
  </sheetData>
  <mergeCells count="75">
    <mergeCell ref="BA4:BJ4"/>
    <mergeCell ref="BK4:BT4"/>
    <mergeCell ref="P5:Y5"/>
    <mergeCell ref="BA5:BJ5"/>
    <mergeCell ref="I10:AS10"/>
    <mergeCell ref="AT10:CD10"/>
    <mergeCell ref="BK11:BT11"/>
    <mergeCell ref="BA12:BJ12"/>
    <mergeCell ref="P11:Y11"/>
    <mergeCell ref="P12:Y12"/>
    <mergeCell ref="B21:H21"/>
    <mergeCell ref="I21:AS21"/>
    <mergeCell ref="AT21:CD21"/>
    <mergeCell ref="P22:Y22"/>
    <mergeCell ref="Z22:AI22"/>
    <mergeCell ref="I100:M100"/>
    <mergeCell ref="I107:M107"/>
    <mergeCell ref="B39:H39"/>
    <mergeCell ref="B42:C42"/>
    <mergeCell ref="B43:C43"/>
    <mergeCell ref="J46:M46"/>
    <mergeCell ref="J64:M64"/>
    <mergeCell ref="I82:M82"/>
    <mergeCell ref="I89:M89"/>
    <mergeCell ref="CV29:DE29"/>
    <mergeCell ref="DW29:EF29"/>
    <mergeCell ref="CL30:CU30"/>
    <mergeCell ref="DW30:EF30"/>
    <mergeCell ref="P29:Y29"/>
    <mergeCell ref="P30:Y30"/>
    <mergeCell ref="BA30:BJ30"/>
    <mergeCell ref="I28:AS28"/>
    <mergeCell ref="AT28:CD28"/>
    <mergeCell ref="CE28:DO28"/>
    <mergeCell ref="DP28:EZ28"/>
    <mergeCell ref="Z29:AI29"/>
    <mergeCell ref="BA29:BJ29"/>
    <mergeCell ref="EG29:EP29"/>
    <mergeCell ref="CL4:CU4"/>
    <mergeCell ref="CV4:DE4"/>
    <mergeCell ref="CL5:CU5"/>
    <mergeCell ref="CE10:DO10"/>
    <mergeCell ref="CL12:CU12"/>
    <mergeCell ref="CE21:DO21"/>
    <mergeCell ref="DW4:EF4"/>
    <mergeCell ref="EG4:EP4"/>
    <mergeCell ref="DW5:EF5"/>
    <mergeCell ref="DP10:EZ10"/>
    <mergeCell ref="DW12:EF12"/>
    <mergeCell ref="DP21:EZ21"/>
    <mergeCell ref="B3:C4"/>
    <mergeCell ref="I3:AS3"/>
    <mergeCell ref="AT3:CD3"/>
    <mergeCell ref="CE3:DO3"/>
    <mergeCell ref="DP3:EZ3"/>
    <mergeCell ref="P4:Y4"/>
    <mergeCell ref="Z4:AI4"/>
    <mergeCell ref="Z11:AI11"/>
    <mergeCell ref="BA11:BJ11"/>
    <mergeCell ref="CL11:CU11"/>
    <mergeCell ref="CV11:DE11"/>
    <mergeCell ref="DW11:EF11"/>
    <mergeCell ref="EG11:EP11"/>
    <mergeCell ref="BA22:BJ22"/>
    <mergeCell ref="BK22:BT22"/>
    <mergeCell ref="CL22:CU22"/>
    <mergeCell ref="CV22:DE22"/>
    <mergeCell ref="DW22:EF22"/>
    <mergeCell ref="EG22:EP22"/>
    <mergeCell ref="P23:Y23"/>
    <mergeCell ref="BA23:BJ23"/>
    <mergeCell ref="CL23:CU23"/>
    <mergeCell ref="DW23:EF23"/>
    <mergeCell ref="BK29:BT29"/>
    <mergeCell ref="CL29:CU29"/>
  </mergeCells>
  <conditionalFormatting sqref="I3:AS38">
    <cfRule type="expression" dxfId="0" priority="1">
      <formula>AND(COLUMN($P$6)&lt;=COLUMN(),COLUMN()&lt;COLUMN($P$6)+INDEX($1:$1048082,ROW(),COLUMN($K$6)))</formula>
    </cfRule>
  </conditionalFormatting>
  <conditionalFormatting sqref="K4:K9 K11:K20 K22:K27 K29:K38">
    <cfRule type="expression" dxfId="0" priority="2">
      <formula>AND(COLUMN($P$6)&lt;=COLUMN(),COLUMN()&lt;COLUMN($P$6)+INDEX($1:$1048082,ROW(),COLUMN($K$7)))</formula>
    </cfRule>
  </conditionalFormatting>
  <conditionalFormatting sqref="K31:K38">
    <cfRule type="expression" dxfId="0" priority="3">
      <formula>AND(COLUMN($P$6)&lt;=COLUMN(),COLUMN()&lt;COLUMN($P$6)+INDEX($1:$1048082,ROW(),COLUMN($K$6)))</formula>
    </cfRule>
  </conditionalFormatting>
  <conditionalFormatting sqref="I10:J10 M10:AS10">
    <cfRule type="expression" dxfId="0" priority="4">
      <formula>AND(COLUMN($P$6)&lt;=COLUMN(),COLUMN()&lt;COLUMN($P$6)+INDEX($1:$1048082,ROW(),COLUMN($K$6)))</formula>
    </cfRule>
  </conditionalFormatting>
  <conditionalFormatting sqref="I21:J21 M21:AS21">
    <cfRule type="expression" dxfId="0" priority="5">
      <formula>AND(COLUMN($P$6)&lt;=COLUMN(),COLUMN()&lt;COLUMN($P$6)+INDEX($1:$1048082,ROW(),COLUMN($K$6)))</formula>
    </cfRule>
  </conditionalFormatting>
  <conditionalFormatting sqref="I28:J28 M28:AS28">
    <cfRule type="expression" dxfId="0" priority="6">
      <formula>AND(COLUMN($P$6)&lt;=COLUMN(),COLUMN()&lt;COLUMN($P$6)+INDEX($1:$1048082,ROW(),COLUMN($K$6)))</formula>
    </cfRule>
  </conditionalFormatting>
  <conditionalFormatting sqref="I3:AS38 AZ6:AZ9 CK6:CK9 DR6:DR9 DT6:DT9 DV6:DV9 AZ13:AZ20 CK13:CK20 DR13:DR20 DT13:DT20 DV13:DV20 AZ24:AZ27 CK24:CK27 DR24:DR27 DT24:DT27 DV24:DV27 AZ31:AZ38 CK31:CK38 DR31:DR38 DT31:DT38 DV31:DV38">
    <cfRule type="expression" dxfId="0" priority="7">
      <formula>AND(COLUMN($P$6)&lt;=COLUMN(),COLUMN()&lt;COLUMN($P$6)+INDEX($1:$1048310,ROW(),COLUMN($K$6)))</formula>
    </cfRule>
  </conditionalFormatting>
  <conditionalFormatting sqref="AT3:EZ38">
    <cfRule type="expression" dxfId="0" priority="8">
      <formula>AND(COLUMN($BA$6)&lt;=COLUMN(),COLUMN()&lt;COLUMN($BA$6)+INDEX($1:$1048310,ROW(),COLUMN($AV$6)))</formula>
    </cfRule>
  </conditionalFormatting>
  <conditionalFormatting sqref="CE3:EZ38">
    <cfRule type="expression" dxfId="0" priority="9">
      <formula>AND(COLUMN($CL$6)&lt;=COLUMN(),COLUMN()&lt;COLUMN($CL$6)+INDEX($1:$1048310,ROW(),COLUMN($CG$6)))</formula>
    </cfRule>
  </conditionalFormatting>
  <conditionalFormatting sqref="DP3:EZ38">
    <cfRule type="expression" dxfId="0" priority="10">
      <formula>AND(COLUMN($DW$6)&lt;=COLUMN(),COLUMN()&lt;COLUMN($DW$6)+INDEX($1:$1048310,ROW(),COLUMN($DR$6)))</formula>
    </cfRule>
  </conditionalFormatting>
  <conditionalFormatting sqref="N45 I80 L84:L88 L91 L102 L109">
    <cfRule type="expression" dxfId="1" priority="11">
      <formula>AND(COLUMN(#REF!)&lt;=COLUMN(),COLUMN()&lt;COLUMN(#REF!)+INDEX($1:$1048310,ROW(),COLUMN(#REF!)))</formula>
    </cfRule>
  </conditionalFormatting>
  <conditionalFormatting sqref="K4:K9 DR6:DR9 K11:K20 DR13:DR20 K22:K27 DR24:DR27 K29:K38 DR31:DR38">
    <cfRule type="expression" dxfId="0" priority="12">
      <formula>AND(COLUMN($P$6)&lt;=COLUMN(),COLUMN()&lt;COLUMN($P$6)+INDEX($1:$1048310,ROW(),COLUMN($K$7)))</formula>
    </cfRule>
  </conditionalFormatting>
  <conditionalFormatting sqref="K85:K88 K91:K99 K102:K106 K109:K117">
    <cfRule type="expression" dxfId="0" priority="13">
      <formula>AND(COLUMN($BA$6)&lt;=COLUMN(),COLUMN()&lt;COLUMN($BA$6)+INDEX($1:$1048310,ROW(),COLUMN($AV$6)))</formula>
    </cfRule>
  </conditionalFormatting>
  <conditionalFormatting sqref="AU6:AU9 CF6:CF9 DQ6:DQ9 AU13:AU20 CF13:CF20 DQ13:DQ20 AU24:AU27 CF24:CF27 DQ24:DQ27 AU31:AU38 CF31:CF38 DQ31:DQ38">
    <cfRule type="expression" dxfId="0" priority="14">
      <formula>AND(COLUMN($P$6)&lt;=COLUMN(),COLUMN()&lt;COLUMN($P$6)+INDEX($1:$1048310,ROW(),COLUMN($K$6)))</formula>
    </cfRule>
  </conditionalFormatting>
  <conditionalFormatting sqref="K31:K38">
    <cfRule type="expression" dxfId="0" priority="15">
      <formula>AND(COLUMN($P$6)&lt;=COLUMN(),COLUMN()&lt;COLUMN($P$6)+INDEX($1:$1048310,ROW(),COLUMN($K$6)))</formula>
    </cfRule>
  </conditionalFormatting>
  <conditionalFormatting sqref="AU13:AU20 CF13:CF20 DQ13:DQ20 AU31:AU38 CF31:CF38 DQ31:DQ38">
    <cfRule type="expression" dxfId="0" priority="16">
      <formula>AND(COLUMN($P$6)&lt;=COLUMN(),COLUMN()&lt;COLUMN($P$6)+INDEX($1:$1048310,ROW(),COLUMN($K$6)))</formula>
    </cfRule>
  </conditionalFormatting>
  <conditionalFormatting sqref="AU13:AU20 CF13:CF20 DQ13:DQ20 AU24:AU27 CF24:CF27 DQ24:DQ27 AU31:AU38 CF31:CF38 DQ31:DQ38">
    <cfRule type="expression" dxfId="0" priority="17">
      <formula>AND(COLUMN($P$6)&lt;=COLUMN(),COLUMN()&lt;COLUMN($P$6)+INDEX($1:$1048310,ROW(),COLUMN($K$6)))</formula>
    </cfRule>
  </conditionalFormatting>
  <conditionalFormatting sqref="AU31:AU38 CF31:CF38 DQ31:DQ38">
    <cfRule type="expression" dxfId="0" priority="18">
      <formula>AND(COLUMN($P$6)&lt;=COLUMN(),COLUMN()&lt;COLUMN($P$6)+INDEX($1:$1048310,ROW(),COLUMN($K$6)))</formula>
    </cfRule>
  </conditionalFormatting>
  <conditionalFormatting sqref="CF6:CF9 DQ6:DQ9 CF13:CF20 DQ13:DQ20 CF24:CF27 DQ24:DQ27 CF31:CF38 DQ31:DQ38">
    <cfRule type="expression" dxfId="0" priority="19">
      <formula>AND(COLUMN($P$6)&lt;=COLUMN(),COLUMN()&lt;COLUMN($P$6)+INDEX($1:$1048310,ROW(),COLUMN($K$6)))</formula>
    </cfRule>
  </conditionalFormatting>
  <conditionalFormatting sqref="CF13:CF20 DQ13:DQ20 CF31:CF38 DQ31:DQ38">
    <cfRule type="expression" dxfId="0" priority="20">
      <formula>AND(COLUMN($P$6)&lt;=COLUMN(),COLUMN()&lt;COLUMN($P$6)+INDEX($1:$1048310,ROW(),COLUMN($K$6)))</formula>
    </cfRule>
  </conditionalFormatting>
  <conditionalFormatting sqref="I10:J10 M10:AS10">
    <cfRule type="expression" dxfId="0" priority="21">
      <formula>AND(COLUMN($P$6)&lt;=COLUMN(),COLUMN()&lt;COLUMN($P$6)+INDEX($1:$1048310,ROW(),COLUMN($K$6)))</formula>
    </cfRule>
  </conditionalFormatting>
  <conditionalFormatting sqref="I21:J21 M21:AS21">
    <cfRule type="expression" dxfId="0" priority="22">
      <formula>AND(COLUMN($P$6)&lt;=COLUMN(),COLUMN()&lt;COLUMN($P$6)+INDEX($1:$1048310,ROW(),COLUMN($K$6)))</formula>
    </cfRule>
  </conditionalFormatting>
  <conditionalFormatting sqref="I28:J28 M28:AS28">
    <cfRule type="expression" dxfId="0" priority="23">
      <formula>AND(COLUMN($P$6)&lt;=COLUMN(),COLUMN()&lt;COLUMN($P$6)+INDEX($1:$1048310,ROW(),COLUMN($K$6)))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1" width="6.89"/>
  </cols>
  <sheetData>
    <row r="1">
      <c r="A1" s="80"/>
      <c r="B1" s="80">
        <v>0.0</v>
      </c>
      <c r="C1" s="80">
        <v>1.0</v>
      </c>
      <c r="D1" s="80">
        <v>2.0</v>
      </c>
      <c r="E1" s="80">
        <v>3.0</v>
      </c>
      <c r="F1" s="80">
        <v>4.0</v>
      </c>
      <c r="G1" s="80">
        <v>5.0</v>
      </c>
      <c r="H1" s="80">
        <v>6.0</v>
      </c>
      <c r="I1" s="80">
        <v>7.0</v>
      </c>
      <c r="J1" s="80">
        <v>8.0</v>
      </c>
      <c r="K1" s="80">
        <v>9.0</v>
      </c>
      <c r="L1" s="80">
        <v>10.0</v>
      </c>
      <c r="M1" s="80">
        <v>11.0</v>
      </c>
      <c r="N1" s="80">
        <v>12.0</v>
      </c>
      <c r="O1" s="80">
        <v>13.0</v>
      </c>
      <c r="P1" s="80">
        <v>14.0</v>
      </c>
      <c r="Q1" s="80">
        <v>15.0</v>
      </c>
      <c r="R1" s="80">
        <v>16.0</v>
      </c>
      <c r="S1" s="80">
        <v>17.0</v>
      </c>
      <c r="T1" s="80">
        <v>18.0</v>
      </c>
      <c r="U1" s="80">
        <v>19.0</v>
      </c>
      <c r="V1" s="80">
        <v>20.0</v>
      </c>
      <c r="W1" s="80">
        <v>21.0</v>
      </c>
      <c r="X1" s="80">
        <v>22.0</v>
      </c>
      <c r="Y1" s="80">
        <v>23.0</v>
      </c>
      <c r="Z1" s="80">
        <v>24.0</v>
      </c>
      <c r="AA1" s="80">
        <v>25.0</v>
      </c>
      <c r="AB1" s="80">
        <v>26.0</v>
      </c>
      <c r="AC1" s="80">
        <v>27.0</v>
      </c>
      <c r="AD1" s="80">
        <v>28.0</v>
      </c>
      <c r="AE1" s="80">
        <v>29.0</v>
      </c>
    </row>
    <row r="2">
      <c r="A2" s="80">
        <v>1.0</v>
      </c>
      <c r="B2" s="80">
        <v>1.0</v>
      </c>
      <c r="C2" s="80">
        <v>1.0</v>
      </c>
      <c r="D2" s="80">
        <v>0.99</v>
      </c>
      <c r="E2" s="80">
        <v>0.95</v>
      </c>
      <c r="F2" s="80">
        <v>0.86</v>
      </c>
      <c r="G2" s="80">
        <v>0.61</v>
      </c>
      <c r="H2" s="80">
        <v>0.23</v>
      </c>
      <c r="I2" s="80">
        <v>0.01</v>
      </c>
      <c r="J2" s="80">
        <v>0.0</v>
      </c>
      <c r="K2" s="80">
        <v>0.0</v>
      </c>
      <c r="L2" s="80">
        <v>0.0</v>
      </c>
      <c r="M2" s="80">
        <v>0.0</v>
      </c>
      <c r="N2" s="80">
        <v>0.0</v>
      </c>
      <c r="O2" s="80">
        <v>0.0</v>
      </c>
      <c r="P2" s="80">
        <v>0.0</v>
      </c>
      <c r="Q2" s="80">
        <v>0.0</v>
      </c>
      <c r="R2" s="80">
        <v>0.0</v>
      </c>
      <c r="S2" s="80">
        <v>0.0</v>
      </c>
      <c r="T2" s="80">
        <v>0.0</v>
      </c>
      <c r="U2" s="80">
        <v>0.0</v>
      </c>
      <c r="V2" s="80">
        <v>0.0</v>
      </c>
      <c r="W2" s="80">
        <v>0.0</v>
      </c>
      <c r="X2" s="80">
        <v>0.0</v>
      </c>
      <c r="Y2" s="80">
        <v>0.0</v>
      </c>
      <c r="Z2" s="80">
        <v>0.0</v>
      </c>
      <c r="AA2" s="80">
        <v>0.0</v>
      </c>
      <c r="AB2" s="80">
        <v>0.0</v>
      </c>
      <c r="AC2" s="80">
        <v>0.0</v>
      </c>
      <c r="AD2" s="80">
        <v>0.0</v>
      </c>
      <c r="AE2" s="80">
        <v>0.0</v>
      </c>
    </row>
    <row r="3">
      <c r="A3" s="80">
        <v>2.0</v>
      </c>
      <c r="B3" s="80">
        <v>2.0</v>
      </c>
      <c r="C3" s="80">
        <v>1.99</v>
      </c>
      <c r="D3" s="80">
        <v>1.94</v>
      </c>
      <c r="E3" s="80">
        <v>1.81</v>
      </c>
      <c r="F3" s="80">
        <v>1.47</v>
      </c>
      <c r="G3" s="80">
        <v>0.84</v>
      </c>
      <c r="H3" s="80">
        <v>0.25</v>
      </c>
      <c r="I3" s="80">
        <v>0.01</v>
      </c>
      <c r="J3" s="80">
        <v>0.0</v>
      </c>
      <c r="K3" s="80">
        <v>0.0</v>
      </c>
      <c r="L3" s="80">
        <v>0.0</v>
      </c>
      <c r="M3" s="80">
        <v>0.0</v>
      </c>
      <c r="N3" s="80">
        <v>0.0</v>
      </c>
      <c r="O3" s="80">
        <v>0.0</v>
      </c>
      <c r="P3" s="80">
        <v>0.0</v>
      </c>
      <c r="Q3" s="80">
        <v>0.0</v>
      </c>
      <c r="R3" s="80">
        <v>0.0</v>
      </c>
      <c r="S3" s="80">
        <v>0.0</v>
      </c>
      <c r="T3" s="80">
        <v>0.0</v>
      </c>
      <c r="U3" s="80">
        <v>0.0</v>
      </c>
      <c r="V3" s="80">
        <v>0.0</v>
      </c>
      <c r="W3" s="80">
        <v>0.0</v>
      </c>
      <c r="X3" s="80">
        <v>0.0</v>
      </c>
      <c r="Y3" s="80">
        <v>0.0</v>
      </c>
      <c r="Z3" s="80">
        <v>0.0</v>
      </c>
      <c r="AA3" s="80">
        <v>0.0</v>
      </c>
      <c r="AB3" s="80">
        <v>0.0</v>
      </c>
      <c r="AC3" s="80">
        <v>0.0</v>
      </c>
      <c r="AD3" s="80">
        <v>0.0</v>
      </c>
      <c r="AE3" s="80"/>
    </row>
    <row r="4">
      <c r="A4" s="80">
        <v>3.0</v>
      </c>
      <c r="B4" s="80">
        <v>2.99</v>
      </c>
      <c r="C4" s="80">
        <v>2.94</v>
      </c>
      <c r="D4" s="80">
        <v>2.79</v>
      </c>
      <c r="E4" s="80">
        <v>2.42</v>
      </c>
      <c r="F4" s="80">
        <v>1.7</v>
      </c>
      <c r="G4" s="80">
        <v>0.86</v>
      </c>
      <c r="H4" s="80">
        <v>0.25</v>
      </c>
      <c r="I4" s="80">
        <v>0.01</v>
      </c>
      <c r="J4" s="80">
        <v>0.0</v>
      </c>
      <c r="K4" s="80">
        <v>0.0</v>
      </c>
      <c r="L4" s="80">
        <v>0.0</v>
      </c>
      <c r="M4" s="80">
        <v>0.0</v>
      </c>
      <c r="N4" s="80">
        <v>0.0</v>
      </c>
      <c r="O4" s="80">
        <v>0.0</v>
      </c>
      <c r="P4" s="80">
        <v>0.0</v>
      </c>
      <c r="Q4" s="80">
        <v>0.0</v>
      </c>
      <c r="R4" s="80">
        <v>0.0</v>
      </c>
      <c r="S4" s="80">
        <v>0.0</v>
      </c>
      <c r="T4" s="80">
        <v>0.0</v>
      </c>
      <c r="U4" s="80">
        <v>0.0</v>
      </c>
      <c r="V4" s="80">
        <v>0.0</v>
      </c>
      <c r="W4" s="80">
        <v>0.0</v>
      </c>
      <c r="X4" s="80">
        <v>0.0</v>
      </c>
      <c r="Y4" s="80">
        <v>0.0</v>
      </c>
      <c r="Z4" s="80">
        <v>0.0</v>
      </c>
      <c r="AA4" s="80">
        <v>0.0</v>
      </c>
      <c r="AB4" s="80">
        <v>0.0</v>
      </c>
      <c r="AC4" s="80">
        <v>0.0</v>
      </c>
      <c r="AD4" s="80"/>
      <c r="AE4" s="80"/>
    </row>
    <row r="5">
      <c r="A5" s="80">
        <v>4.0</v>
      </c>
      <c r="B5" s="80">
        <v>3.94</v>
      </c>
      <c r="C5" s="80">
        <v>3.79</v>
      </c>
      <c r="D5" s="80">
        <v>3.41</v>
      </c>
      <c r="E5" s="80">
        <v>2.65</v>
      </c>
      <c r="F5" s="80">
        <v>1.71</v>
      </c>
      <c r="G5" s="80">
        <v>0.86</v>
      </c>
      <c r="H5" s="80">
        <v>0.25</v>
      </c>
      <c r="I5" s="80">
        <v>0.01</v>
      </c>
      <c r="J5" s="80">
        <v>0.0</v>
      </c>
      <c r="K5" s="80">
        <v>0.0</v>
      </c>
      <c r="L5" s="80">
        <v>0.0</v>
      </c>
      <c r="M5" s="80">
        <v>0.0</v>
      </c>
      <c r="N5" s="80">
        <v>0.0</v>
      </c>
      <c r="O5" s="80">
        <v>0.0</v>
      </c>
      <c r="P5" s="80">
        <v>0.0</v>
      </c>
      <c r="Q5" s="80">
        <v>0.0</v>
      </c>
      <c r="R5" s="80">
        <v>0.0</v>
      </c>
      <c r="S5" s="80">
        <v>0.0</v>
      </c>
      <c r="T5" s="80">
        <v>0.0</v>
      </c>
      <c r="U5" s="80">
        <v>0.0</v>
      </c>
      <c r="V5" s="80">
        <v>0.0</v>
      </c>
      <c r="W5" s="80">
        <v>0.0</v>
      </c>
      <c r="X5" s="80">
        <v>0.0</v>
      </c>
      <c r="Y5" s="80">
        <v>0.0</v>
      </c>
      <c r="Z5" s="80">
        <v>0.0</v>
      </c>
      <c r="AA5" s="80">
        <v>0.0</v>
      </c>
      <c r="AB5" s="80">
        <v>0.0</v>
      </c>
      <c r="AC5" s="80"/>
      <c r="AD5" s="80"/>
      <c r="AE5" s="80"/>
    </row>
    <row r="6">
      <c r="A6" s="80">
        <v>5.0</v>
      </c>
      <c r="B6" s="80">
        <v>4.79</v>
      </c>
      <c r="C6" s="80">
        <v>4.41</v>
      </c>
      <c r="D6" s="80">
        <v>3.64</v>
      </c>
      <c r="E6" s="80">
        <v>2.67</v>
      </c>
      <c r="F6" s="80">
        <v>1.71</v>
      </c>
      <c r="G6" s="80">
        <v>0.86</v>
      </c>
      <c r="H6" s="80">
        <v>0.25</v>
      </c>
      <c r="I6" s="80">
        <v>0.01</v>
      </c>
      <c r="J6" s="80">
        <v>0.0</v>
      </c>
      <c r="K6" s="80">
        <v>0.0</v>
      </c>
      <c r="L6" s="80">
        <v>0.0</v>
      </c>
      <c r="M6" s="80">
        <v>0.0</v>
      </c>
      <c r="N6" s="80">
        <v>0.0</v>
      </c>
      <c r="O6" s="80">
        <v>0.0</v>
      </c>
      <c r="P6" s="80">
        <v>0.0</v>
      </c>
      <c r="Q6" s="80">
        <v>0.0</v>
      </c>
      <c r="R6" s="80">
        <v>0.0</v>
      </c>
      <c r="S6" s="80">
        <v>0.0</v>
      </c>
      <c r="T6" s="80">
        <v>0.0</v>
      </c>
      <c r="U6" s="80">
        <v>0.0</v>
      </c>
      <c r="V6" s="80">
        <v>0.0</v>
      </c>
      <c r="W6" s="80">
        <v>0.0</v>
      </c>
      <c r="X6" s="80">
        <v>0.0</v>
      </c>
      <c r="Y6" s="80">
        <v>0.0</v>
      </c>
      <c r="Z6" s="80">
        <v>0.0</v>
      </c>
      <c r="AA6" s="80">
        <v>0.0</v>
      </c>
      <c r="AB6" s="80"/>
      <c r="AC6" s="80"/>
      <c r="AD6" s="80"/>
      <c r="AE6" s="80"/>
    </row>
    <row r="7">
      <c r="A7" s="80">
        <v>6.0</v>
      </c>
      <c r="B7" s="80">
        <v>5.41</v>
      </c>
      <c r="C7" s="80">
        <v>4.64</v>
      </c>
      <c r="D7" s="80">
        <v>3.65</v>
      </c>
      <c r="E7" s="80">
        <v>2.67</v>
      </c>
      <c r="F7" s="80">
        <v>1.71</v>
      </c>
      <c r="G7" s="80">
        <v>0.86</v>
      </c>
      <c r="H7" s="80">
        <v>0.25</v>
      </c>
      <c r="I7" s="80">
        <v>0.01</v>
      </c>
      <c r="J7" s="80">
        <v>0.0</v>
      </c>
      <c r="K7" s="80">
        <v>0.0</v>
      </c>
      <c r="L7" s="80">
        <v>0.0</v>
      </c>
      <c r="M7" s="80">
        <v>0.0</v>
      </c>
      <c r="N7" s="80">
        <v>0.0</v>
      </c>
      <c r="O7" s="80">
        <v>0.0</v>
      </c>
      <c r="P7" s="80">
        <v>0.0</v>
      </c>
      <c r="Q7" s="80">
        <v>0.0</v>
      </c>
      <c r="R7" s="80">
        <v>0.0</v>
      </c>
      <c r="S7" s="80">
        <v>0.0</v>
      </c>
      <c r="T7" s="80">
        <v>0.0</v>
      </c>
      <c r="U7" s="80">
        <v>0.0</v>
      </c>
      <c r="V7" s="80">
        <v>0.0</v>
      </c>
      <c r="W7" s="80">
        <v>0.0</v>
      </c>
      <c r="X7" s="80">
        <v>0.0</v>
      </c>
      <c r="Y7" s="80">
        <v>0.0</v>
      </c>
      <c r="Z7" s="80">
        <v>0.0</v>
      </c>
      <c r="AA7" s="80"/>
      <c r="AB7" s="80"/>
      <c r="AC7" s="80"/>
      <c r="AD7" s="80"/>
      <c r="AE7" s="80"/>
    </row>
    <row r="8">
      <c r="A8" s="80">
        <v>7.0</v>
      </c>
      <c r="B8" s="80">
        <v>5.64</v>
      </c>
      <c r="C8" s="80">
        <v>4.65</v>
      </c>
      <c r="D8" s="80">
        <v>3.65</v>
      </c>
      <c r="E8" s="80">
        <v>2.67</v>
      </c>
      <c r="F8" s="80">
        <v>1.71</v>
      </c>
      <c r="G8" s="80">
        <v>0.86</v>
      </c>
      <c r="H8" s="80">
        <v>0.25</v>
      </c>
      <c r="I8" s="80">
        <v>0.01</v>
      </c>
      <c r="J8" s="80">
        <v>0.0</v>
      </c>
      <c r="K8" s="80">
        <v>0.0</v>
      </c>
      <c r="L8" s="80">
        <v>0.0</v>
      </c>
      <c r="M8" s="80">
        <v>0.0</v>
      </c>
      <c r="N8" s="80">
        <v>0.0</v>
      </c>
      <c r="O8" s="80">
        <v>0.0</v>
      </c>
      <c r="P8" s="80">
        <v>0.0</v>
      </c>
      <c r="Q8" s="80">
        <v>0.0</v>
      </c>
      <c r="R8" s="80">
        <v>0.0</v>
      </c>
      <c r="S8" s="80">
        <v>0.0</v>
      </c>
      <c r="T8" s="80">
        <v>0.0</v>
      </c>
      <c r="U8" s="80">
        <v>0.0</v>
      </c>
      <c r="V8" s="80">
        <v>0.0</v>
      </c>
      <c r="W8" s="80">
        <v>0.0</v>
      </c>
      <c r="X8" s="80">
        <v>0.0</v>
      </c>
      <c r="Y8" s="80">
        <v>0.0</v>
      </c>
      <c r="Z8" s="80"/>
      <c r="AA8" s="80"/>
      <c r="AB8" s="80"/>
      <c r="AC8" s="80"/>
      <c r="AD8" s="80"/>
      <c r="AE8" s="80"/>
    </row>
    <row r="9">
      <c r="A9" s="80">
        <v>8.0</v>
      </c>
      <c r="B9" s="80">
        <v>5.65</v>
      </c>
      <c r="C9" s="80">
        <v>4.65</v>
      </c>
      <c r="D9" s="80">
        <v>3.65</v>
      </c>
      <c r="E9" s="80">
        <v>2.67</v>
      </c>
      <c r="F9" s="80">
        <v>1.71</v>
      </c>
      <c r="G9" s="80">
        <v>0.86</v>
      </c>
      <c r="H9" s="80">
        <v>0.25</v>
      </c>
      <c r="I9" s="80">
        <v>0.01</v>
      </c>
      <c r="J9" s="80">
        <v>0.0</v>
      </c>
      <c r="K9" s="80">
        <v>0.0</v>
      </c>
      <c r="L9" s="80">
        <v>0.0</v>
      </c>
      <c r="M9" s="80">
        <v>0.0</v>
      </c>
      <c r="N9" s="80">
        <v>0.0</v>
      </c>
      <c r="O9" s="80">
        <v>0.0</v>
      </c>
      <c r="P9" s="80">
        <v>0.0</v>
      </c>
      <c r="Q9" s="80">
        <v>0.0</v>
      </c>
      <c r="R9" s="80">
        <v>0.0</v>
      </c>
      <c r="S9" s="80">
        <v>0.0</v>
      </c>
      <c r="T9" s="80">
        <v>0.0</v>
      </c>
      <c r="U9" s="80">
        <v>0.0</v>
      </c>
      <c r="V9" s="80">
        <v>0.0</v>
      </c>
      <c r="W9" s="80">
        <v>0.0</v>
      </c>
      <c r="X9" s="80">
        <v>0.0</v>
      </c>
      <c r="Y9" s="80"/>
      <c r="Z9" s="80"/>
      <c r="AA9" s="80"/>
      <c r="AB9" s="80"/>
      <c r="AC9" s="80"/>
      <c r="AD9" s="80"/>
      <c r="AE9" s="80"/>
    </row>
    <row r="10">
      <c r="A10" s="80">
        <v>9.0</v>
      </c>
      <c r="B10" s="80">
        <v>5.65</v>
      </c>
      <c r="C10" s="80">
        <v>4.65</v>
      </c>
      <c r="D10" s="80">
        <v>3.65</v>
      </c>
      <c r="E10" s="80">
        <v>2.67</v>
      </c>
      <c r="F10" s="80">
        <v>1.71</v>
      </c>
      <c r="G10" s="80">
        <v>0.86</v>
      </c>
      <c r="H10" s="80">
        <v>0.25</v>
      </c>
      <c r="I10" s="80">
        <v>0.01</v>
      </c>
      <c r="J10" s="80">
        <v>0.0</v>
      </c>
      <c r="K10" s="80">
        <v>0.0</v>
      </c>
      <c r="L10" s="80">
        <v>0.0</v>
      </c>
      <c r="M10" s="80">
        <v>0.0</v>
      </c>
      <c r="N10" s="80">
        <v>0.0</v>
      </c>
      <c r="O10" s="80">
        <v>0.0</v>
      </c>
      <c r="P10" s="80">
        <v>0.0</v>
      </c>
      <c r="Q10" s="80">
        <v>0.0</v>
      </c>
      <c r="R10" s="80">
        <v>0.0</v>
      </c>
      <c r="S10" s="80">
        <v>0.0</v>
      </c>
      <c r="T10" s="80">
        <v>0.0</v>
      </c>
      <c r="U10" s="80">
        <v>0.0</v>
      </c>
      <c r="V10" s="80">
        <v>0.0</v>
      </c>
      <c r="W10" s="80">
        <v>0.0</v>
      </c>
      <c r="X10" s="80"/>
      <c r="Y10" s="80"/>
      <c r="Z10" s="80"/>
      <c r="AA10" s="80"/>
      <c r="AB10" s="80"/>
      <c r="AC10" s="80"/>
      <c r="AD10" s="80"/>
      <c r="AE10" s="80"/>
    </row>
    <row r="11">
      <c r="A11" s="80">
        <v>10.0</v>
      </c>
      <c r="B11" s="80">
        <v>5.65</v>
      </c>
      <c r="C11" s="80">
        <v>4.65</v>
      </c>
      <c r="D11" s="80">
        <v>3.65</v>
      </c>
      <c r="E11" s="80">
        <v>2.67</v>
      </c>
      <c r="F11" s="80">
        <v>1.71</v>
      </c>
      <c r="G11" s="80">
        <v>0.86</v>
      </c>
      <c r="H11" s="80">
        <v>0.25</v>
      </c>
      <c r="I11" s="80">
        <v>0.01</v>
      </c>
      <c r="J11" s="80">
        <v>0.0</v>
      </c>
      <c r="K11" s="80">
        <v>0.0</v>
      </c>
      <c r="L11" s="80">
        <v>0.0</v>
      </c>
      <c r="M11" s="80">
        <v>0.0</v>
      </c>
      <c r="N11" s="80">
        <v>0.0</v>
      </c>
      <c r="O11" s="80">
        <v>0.0</v>
      </c>
      <c r="P11" s="80">
        <v>0.0</v>
      </c>
      <c r="Q11" s="80">
        <v>0.0</v>
      </c>
      <c r="R11" s="80">
        <v>0.0</v>
      </c>
      <c r="S11" s="80">
        <v>0.0</v>
      </c>
      <c r="T11" s="80">
        <v>0.0</v>
      </c>
      <c r="U11" s="80">
        <v>0.0</v>
      </c>
      <c r="V11" s="80">
        <v>0.0</v>
      </c>
      <c r="W11" s="80"/>
      <c r="X11" s="80"/>
      <c r="Y11" s="80"/>
      <c r="Z11" s="80"/>
      <c r="AA11" s="80"/>
      <c r="AB11" s="80"/>
      <c r="AC11" s="80"/>
      <c r="AD11" s="80"/>
      <c r="AE11" s="80"/>
    </row>
    <row r="12">
      <c r="A12" s="80">
        <v>11.0</v>
      </c>
      <c r="B12" s="80">
        <v>5.65</v>
      </c>
      <c r="C12" s="80">
        <v>4.65</v>
      </c>
      <c r="D12" s="80">
        <v>3.65</v>
      </c>
      <c r="E12" s="80">
        <v>2.67</v>
      </c>
      <c r="F12" s="80">
        <v>1.71</v>
      </c>
      <c r="G12" s="80">
        <v>0.86</v>
      </c>
      <c r="H12" s="80">
        <v>0.25</v>
      </c>
      <c r="I12" s="80">
        <v>0.01</v>
      </c>
      <c r="J12" s="80">
        <v>0.0</v>
      </c>
      <c r="K12" s="80">
        <v>0.0</v>
      </c>
      <c r="L12" s="80">
        <v>0.0</v>
      </c>
      <c r="M12" s="80">
        <v>0.0</v>
      </c>
      <c r="N12" s="80">
        <v>0.0</v>
      </c>
      <c r="O12" s="80">
        <v>0.0</v>
      </c>
      <c r="P12" s="80">
        <v>0.0</v>
      </c>
      <c r="Q12" s="80">
        <v>0.0</v>
      </c>
      <c r="R12" s="80">
        <v>0.0</v>
      </c>
      <c r="S12" s="80">
        <v>0.0</v>
      </c>
      <c r="T12" s="80">
        <v>0.0</v>
      </c>
      <c r="U12" s="80">
        <v>0.0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</row>
    <row r="13">
      <c r="A13" s="80">
        <v>12.0</v>
      </c>
      <c r="B13" s="80">
        <v>5.65</v>
      </c>
      <c r="C13" s="80">
        <v>4.65</v>
      </c>
      <c r="D13" s="80">
        <v>3.65</v>
      </c>
      <c r="E13" s="80">
        <v>2.67</v>
      </c>
      <c r="F13" s="80">
        <v>1.71</v>
      </c>
      <c r="G13" s="80">
        <v>0.86</v>
      </c>
      <c r="H13" s="80">
        <v>0.25</v>
      </c>
      <c r="I13" s="80">
        <v>0.01</v>
      </c>
      <c r="J13" s="80">
        <v>0.0</v>
      </c>
      <c r="K13" s="80">
        <v>0.0</v>
      </c>
      <c r="L13" s="80">
        <v>0.0</v>
      </c>
      <c r="M13" s="80">
        <v>0.0</v>
      </c>
      <c r="N13" s="80">
        <v>0.0</v>
      </c>
      <c r="O13" s="80">
        <v>0.0</v>
      </c>
      <c r="P13" s="80">
        <v>0.0</v>
      </c>
      <c r="Q13" s="80">
        <v>0.0</v>
      </c>
      <c r="R13" s="80">
        <v>0.0</v>
      </c>
      <c r="S13" s="80">
        <v>0.0</v>
      </c>
      <c r="T13" s="80">
        <v>0.0</v>
      </c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</row>
    <row r="14">
      <c r="A14" s="80">
        <v>13.0</v>
      </c>
      <c r="B14" s="80">
        <v>5.65</v>
      </c>
      <c r="C14" s="80">
        <v>4.65</v>
      </c>
      <c r="D14" s="80">
        <v>3.65</v>
      </c>
      <c r="E14" s="80">
        <v>2.67</v>
      </c>
      <c r="F14" s="80">
        <v>1.71</v>
      </c>
      <c r="G14" s="80">
        <v>0.86</v>
      </c>
      <c r="H14" s="80">
        <v>0.25</v>
      </c>
      <c r="I14" s="80">
        <v>0.01</v>
      </c>
      <c r="J14" s="80">
        <v>0.0</v>
      </c>
      <c r="K14" s="80">
        <v>0.0</v>
      </c>
      <c r="L14" s="80">
        <v>0.0</v>
      </c>
      <c r="M14" s="80">
        <v>0.0</v>
      </c>
      <c r="N14" s="80">
        <v>0.0</v>
      </c>
      <c r="O14" s="80">
        <v>0.0</v>
      </c>
      <c r="P14" s="80">
        <v>0.0</v>
      </c>
      <c r="Q14" s="80">
        <v>0.0</v>
      </c>
      <c r="R14" s="80">
        <v>0.0</v>
      </c>
      <c r="S14" s="80">
        <v>0.0</v>
      </c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</row>
    <row r="15">
      <c r="A15" s="80">
        <v>14.0</v>
      </c>
      <c r="B15" s="80">
        <v>5.65</v>
      </c>
      <c r="C15" s="80">
        <v>4.65</v>
      </c>
      <c r="D15" s="80">
        <v>3.65</v>
      </c>
      <c r="E15" s="80">
        <v>2.67</v>
      </c>
      <c r="F15" s="80">
        <v>1.71</v>
      </c>
      <c r="G15" s="80">
        <v>0.86</v>
      </c>
      <c r="H15" s="80">
        <v>0.25</v>
      </c>
      <c r="I15" s="80">
        <v>0.01</v>
      </c>
      <c r="J15" s="80">
        <v>0.0</v>
      </c>
      <c r="K15" s="80">
        <v>0.0</v>
      </c>
      <c r="L15" s="80">
        <v>0.0</v>
      </c>
      <c r="M15" s="80">
        <v>0.0</v>
      </c>
      <c r="N15" s="80">
        <v>0.0</v>
      </c>
      <c r="O15" s="80">
        <v>0.0</v>
      </c>
      <c r="P15" s="80">
        <v>0.0</v>
      </c>
      <c r="Q15" s="80">
        <v>0.0</v>
      </c>
      <c r="R15" s="80">
        <v>0.0</v>
      </c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</row>
    <row r="16">
      <c r="A16" s="80">
        <v>15.0</v>
      </c>
      <c r="B16" s="80">
        <v>5.65</v>
      </c>
      <c r="C16" s="80">
        <v>4.65</v>
      </c>
      <c r="D16" s="80">
        <v>3.65</v>
      </c>
      <c r="E16" s="80">
        <v>2.67</v>
      </c>
      <c r="F16" s="80">
        <v>1.71</v>
      </c>
      <c r="G16" s="80">
        <v>0.86</v>
      </c>
      <c r="H16" s="80">
        <v>0.25</v>
      </c>
      <c r="I16" s="80">
        <v>0.01</v>
      </c>
      <c r="J16" s="80">
        <v>0.0</v>
      </c>
      <c r="K16" s="80">
        <v>0.0</v>
      </c>
      <c r="L16" s="80">
        <v>0.0</v>
      </c>
      <c r="M16" s="80">
        <v>0.0</v>
      </c>
      <c r="N16" s="80">
        <v>0.0</v>
      </c>
      <c r="O16" s="80">
        <v>0.0</v>
      </c>
      <c r="P16" s="80">
        <v>0.0</v>
      </c>
      <c r="Q16" s="80">
        <v>0.0</v>
      </c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</row>
    <row r="17">
      <c r="A17" s="80">
        <v>16.0</v>
      </c>
      <c r="B17" s="80">
        <v>5.65</v>
      </c>
      <c r="C17" s="80">
        <v>4.65</v>
      </c>
      <c r="D17" s="80">
        <v>3.65</v>
      </c>
      <c r="E17" s="80">
        <v>2.67</v>
      </c>
      <c r="F17" s="80">
        <v>1.71</v>
      </c>
      <c r="G17" s="80">
        <v>0.86</v>
      </c>
      <c r="H17" s="80">
        <v>0.25</v>
      </c>
      <c r="I17" s="80">
        <v>0.01</v>
      </c>
      <c r="J17" s="80">
        <v>0.0</v>
      </c>
      <c r="K17" s="80">
        <v>0.0</v>
      </c>
      <c r="L17" s="80">
        <v>0.0</v>
      </c>
      <c r="M17" s="80">
        <v>0.0</v>
      </c>
      <c r="N17" s="80">
        <v>0.0</v>
      </c>
      <c r="O17" s="80">
        <v>0.0</v>
      </c>
      <c r="P17" s="80">
        <v>0.0</v>
      </c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</row>
    <row r="18">
      <c r="A18" s="80">
        <v>17.0</v>
      </c>
      <c r="B18" s="80">
        <v>5.65</v>
      </c>
      <c r="C18" s="80">
        <v>4.65</v>
      </c>
      <c r="D18" s="80">
        <v>3.65</v>
      </c>
      <c r="E18" s="80">
        <v>2.67</v>
      </c>
      <c r="F18" s="80">
        <v>1.71</v>
      </c>
      <c r="G18" s="80">
        <v>0.86</v>
      </c>
      <c r="H18" s="80">
        <v>0.25</v>
      </c>
      <c r="I18" s="80">
        <v>0.01</v>
      </c>
      <c r="J18" s="80">
        <v>0.0</v>
      </c>
      <c r="K18" s="80">
        <v>0.0</v>
      </c>
      <c r="L18" s="80">
        <v>0.0</v>
      </c>
      <c r="M18" s="80">
        <v>0.0</v>
      </c>
      <c r="N18" s="80">
        <v>0.0</v>
      </c>
      <c r="O18" s="80">
        <v>0.0</v>
      </c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</row>
    <row r="19">
      <c r="A19" s="80">
        <v>18.0</v>
      </c>
      <c r="B19" s="80">
        <v>5.65</v>
      </c>
      <c r="C19" s="80">
        <v>4.65</v>
      </c>
      <c r="D19" s="80">
        <v>3.65</v>
      </c>
      <c r="E19" s="80">
        <v>2.67</v>
      </c>
      <c r="F19" s="80">
        <v>1.71</v>
      </c>
      <c r="G19" s="80">
        <v>0.86</v>
      </c>
      <c r="H19" s="80">
        <v>0.25</v>
      </c>
      <c r="I19" s="80">
        <v>0.01</v>
      </c>
      <c r="J19" s="80">
        <v>0.0</v>
      </c>
      <c r="K19" s="80">
        <v>0.0</v>
      </c>
      <c r="L19" s="80">
        <v>0.0</v>
      </c>
      <c r="M19" s="80">
        <v>0.0</v>
      </c>
      <c r="N19" s="80">
        <v>0.0</v>
      </c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</row>
    <row r="20">
      <c r="A20" s="80">
        <v>19.0</v>
      </c>
      <c r="B20" s="80">
        <v>5.65</v>
      </c>
      <c r="C20" s="80">
        <v>4.65</v>
      </c>
      <c r="D20" s="80">
        <v>3.65</v>
      </c>
      <c r="E20" s="80">
        <v>2.67</v>
      </c>
      <c r="F20" s="80">
        <v>1.71</v>
      </c>
      <c r="G20" s="80">
        <v>0.86</v>
      </c>
      <c r="H20" s="80">
        <v>0.25</v>
      </c>
      <c r="I20" s="80">
        <v>0.01</v>
      </c>
      <c r="J20" s="80">
        <v>0.0</v>
      </c>
      <c r="K20" s="80">
        <v>0.0</v>
      </c>
      <c r="L20" s="80">
        <v>0.0</v>
      </c>
      <c r="M20" s="80">
        <v>0.0</v>
      </c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</row>
    <row r="21" ht="15.75" customHeight="1">
      <c r="A21" s="80">
        <v>20.0</v>
      </c>
      <c r="B21" s="80">
        <v>5.65</v>
      </c>
      <c r="C21" s="80">
        <v>4.65</v>
      </c>
      <c r="D21" s="80">
        <v>3.65</v>
      </c>
      <c r="E21" s="80">
        <v>2.67</v>
      </c>
      <c r="F21" s="80">
        <v>1.71</v>
      </c>
      <c r="G21" s="80">
        <v>0.86</v>
      </c>
      <c r="H21" s="80">
        <v>0.25</v>
      </c>
      <c r="I21" s="80">
        <v>0.01</v>
      </c>
      <c r="J21" s="80">
        <v>0.0</v>
      </c>
      <c r="K21" s="80">
        <v>0.0</v>
      </c>
      <c r="L21" s="80">
        <v>0.0</v>
      </c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</row>
    <row r="22" ht="15.75" customHeight="1">
      <c r="A22" s="80">
        <v>21.0</v>
      </c>
      <c r="B22" s="80">
        <v>5.65</v>
      </c>
      <c r="C22" s="80">
        <v>4.65</v>
      </c>
      <c r="D22" s="80">
        <v>3.65</v>
      </c>
      <c r="E22" s="80">
        <v>2.67</v>
      </c>
      <c r="F22" s="80">
        <v>1.71</v>
      </c>
      <c r="G22" s="80">
        <v>0.86</v>
      </c>
      <c r="H22" s="80">
        <v>0.25</v>
      </c>
      <c r="I22" s="80">
        <v>0.01</v>
      </c>
      <c r="J22" s="80">
        <v>0.0</v>
      </c>
      <c r="K22" s="80">
        <v>0.0</v>
      </c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</row>
    <row r="23" ht="15.75" customHeight="1">
      <c r="A23" s="80">
        <v>22.0</v>
      </c>
      <c r="B23" s="80">
        <v>5.65</v>
      </c>
      <c r="C23" s="80">
        <v>4.65</v>
      </c>
      <c r="D23" s="80">
        <v>3.65</v>
      </c>
      <c r="E23" s="80">
        <v>2.67</v>
      </c>
      <c r="F23" s="80">
        <v>1.71</v>
      </c>
      <c r="G23" s="80">
        <v>0.86</v>
      </c>
      <c r="H23" s="80">
        <v>0.25</v>
      </c>
      <c r="I23" s="80">
        <v>0.01</v>
      </c>
      <c r="J23" s="80">
        <v>0.0</v>
      </c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</row>
    <row r="24" ht="15.75" customHeight="1">
      <c r="A24" s="80">
        <v>23.0</v>
      </c>
      <c r="B24" s="80">
        <v>5.65</v>
      </c>
      <c r="C24" s="80">
        <v>4.65</v>
      </c>
      <c r="D24" s="80">
        <v>3.65</v>
      </c>
      <c r="E24" s="80">
        <v>2.67</v>
      </c>
      <c r="F24" s="80">
        <v>1.71</v>
      </c>
      <c r="G24" s="80">
        <v>0.86</v>
      </c>
      <c r="H24" s="80">
        <v>0.25</v>
      </c>
      <c r="I24" s="80">
        <v>0.01</v>
      </c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</row>
    <row r="25" ht="15.75" customHeight="1">
      <c r="A25" s="80">
        <v>24.0</v>
      </c>
      <c r="B25" s="80">
        <v>5.65</v>
      </c>
      <c r="C25" s="80">
        <v>4.65</v>
      </c>
      <c r="D25" s="80">
        <v>3.65</v>
      </c>
      <c r="E25" s="80">
        <v>2.67</v>
      </c>
      <c r="F25" s="80">
        <v>1.71</v>
      </c>
      <c r="G25" s="80">
        <v>0.86</v>
      </c>
      <c r="H25" s="80">
        <v>0.25</v>
      </c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</row>
    <row r="26" ht="15.75" customHeight="1">
      <c r="A26" s="80">
        <v>25.0</v>
      </c>
      <c r="B26" s="80">
        <v>5.65</v>
      </c>
      <c r="C26" s="80">
        <v>4.65</v>
      </c>
      <c r="D26" s="80">
        <v>3.65</v>
      </c>
      <c r="E26" s="80">
        <v>2.67</v>
      </c>
      <c r="F26" s="80">
        <v>1.71</v>
      </c>
      <c r="G26" s="80">
        <v>0.86</v>
      </c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</row>
    <row r="27" ht="15.75" customHeight="1">
      <c r="A27" s="80">
        <v>26.0</v>
      </c>
      <c r="B27" s="80">
        <v>5.65</v>
      </c>
      <c r="C27" s="80">
        <v>4.65</v>
      </c>
      <c r="D27" s="80">
        <v>3.65</v>
      </c>
      <c r="E27" s="80">
        <v>2.67</v>
      </c>
      <c r="F27" s="80">
        <v>1.71</v>
      </c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</row>
    <row r="28" ht="15.75" customHeight="1">
      <c r="A28" s="80">
        <v>27.0</v>
      </c>
      <c r="B28" s="80">
        <v>5.65</v>
      </c>
      <c r="C28" s="80">
        <v>4.65</v>
      </c>
      <c r="D28" s="80">
        <v>3.65</v>
      </c>
      <c r="E28" s="80">
        <v>2.67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</row>
    <row r="29" ht="15.75" customHeight="1">
      <c r="A29" s="80">
        <v>28.0</v>
      </c>
      <c r="B29" s="80">
        <v>5.65</v>
      </c>
      <c r="C29" s="80">
        <v>4.65</v>
      </c>
      <c r="D29" s="80">
        <v>3.65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</row>
    <row r="30" ht="15.75" customHeight="1">
      <c r="A30" s="80">
        <v>29.0</v>
      </c>
      <c r="B30" s="80">
        <v>5.65</v>
      </c>
      <c r="C30" s="80">
        <v>4.65</v>
      </c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</row>
    <row r="31" ht="15.75" customHeight="1">
      <c r="A31" s="80">
        <v>30.0</v>
      </c>
      <c r="B31" s="80">
        <v>5.65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</row>
    <row r="32" ht="15.7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</row>
    <row r="33" ht="15.75" customHeight="1">
      <c r="A33" s="80" t="s">
        <v>93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</row>
    <row r="34" ht="15.75" customHeight="1">
      <c r="A34" s="80" t="s">
        <v>94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</row>
    <row r="35" ht="15.7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</row>
    <row r="36" ht="15.7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</row>
    <row r="37" ht="15.7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</row>
    <row r="38" ht="15.7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</row>
    <row r="39" ht="15.7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</row>
    <row r="40" ht="15.7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</row>
    <row r="41" ht="15.7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</row>
    <row r="42" ht="15.7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</row>
    <row r="43" ht="15.7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</row>
    <row r="44" ht="15.7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</row>
    <row r="45" ht="15.7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</row>
    <row r="46" ht="15.7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</row>
    <row r="47" ht="15.7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</row>
    <row r="48" ht="15.7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</row>
    <row r="49" ht="15.7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</row>
    <row r="50" ht="15.7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</row>
    <row r="51" ht="15.7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</row>
    <row r="52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</row>
    <row r="53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</row>
    <row r="54" ht="15.7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</row>
    <row r="55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</row>
    <row r="998" ht="15.75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</row>
    <row r="999" ht="15.75" customHeight="1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</row>
    <row r="1000" ht="15.75" customHeight="1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</row>
  </sheetData>
  <printOptions/>
  <pageMargins bottom="0.75" footer="0.0" header="0.0" left="0.7" right="0.7" top="0.75"/>
  <pageSetup orientation="landscape"/>
  <drawing r:id="rId1"/>
</worksheet>
</file>